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4.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430" codeName="{82680DD9-3F13-7979-5B5F-3D2375947C00}"/>
  <workbookPr codeName="ThisWorkbook" defaultThemeVersion="124226"/>
  <mc:AlternateContent xmlns:mc="http://schemas.openxmlformats.org/markup-compatibility/2006">
    <mc:Choice Requires="x15">
      <x15ac:absPath xmlns:x15ac="http://schemas.microsoft.com/office/spreadsheetml/2010/11/ac" url="C:\Users\bev.RENKA\Renka Ltd Dropbox\Renka Ltd team folder\QUOTES\W\Wilsher Allan - Highview\Renka Quote\"/>
    </mc:Choice>
  </mc:AlternateContent>
  <xr:revisionPtr revIDLastSave="0" documentId="13_ncr:1_{2FC4452F-3393-485C-8697-9D81DF24187F}" xr6:coauthVersionLast="47" xr6:coauthVersionMax="47" xr10:uidLastSave="{00000000-0000-0000-0000-000000000000}"/>
  <bookViews>
    <workbookView xWindow="-120" yWindow="-120" windowWidth="29040" windowHeight="15720" tabRatio="705" xr2:uid="{00000000-000D-0000-FFFF-FFFF00000000}"/>
  </bookViews>
  <sheets>
    <sheet name="QUOTE WORKING SHEET" sheetId="1" r:id="rId1"/>
    <sheet name="QUOTE (DO NOT AMEND)" sheetId="4" state="hidden" r:id="rId2"/>
    <sheet name="ORDER CONFIRMATION" sheetId="2" state="hidden" r:id="rId3"/>
    <sheet name="WORKS INSTRUCTION" sheetId="5" state="hidden" r:id="rId4"/>
    <sheet name="SCHEDULE FOR SUPPLIER PRICING" sheetId="6" state="hidden" r:id="rId5"/>
  </sheets>
  <definedNames>
    <definedName name="_xlnm._FilterDatabase" localSheetId="0" hidden="1">'QUOTE WORKING SHEET'!$A$21:$U$121</definedName>
    <definedName name="_xlnm.Print_Area" localSheetId="2">'ORDER CONFIRMATION'!$A$1:$U$215</definedName>
    <definedName name="_xlnm.Print_Area" localSheetId="1">'QUOTE (DO NOT AMEND)'!$A$1:$AA$81</definedName>
    <definedName name="_xlnm.Print_Area" localSheetId="0">'QUOTE WORKING SHEET'!$A$1:$U$131</definedName>
    <definedName name="_xlnm.Print_Area" localSheetId="4">'SCHEDULE FOR SUPPLIER PRICING'!$A$1:$U$103</definedName>
    <definedName name="_xlnm.Print_Area" localSheetId="3">'WORKS INSTRUCTION'!$A$2:$Q$111</definedName>
    <definedName name="_xlnm.Print_Titles" localSheetId="2">'ORDER CONFIRMATION'!$19:$21</definedName>
    <definedName name="_xlnm.Print_Titles" localSheetId="1">'QUOTE (DO NOT AMEND)'!$19:$21</definedName>
    <definedName name="_xlnm.Print_Titles" localSheetId="0">'QUOTE WORKING SHEET'!$19:$21</definedName>
    <definedName name="_xlnm.Print_Titles" localSheetId="3">'WORKS INSTRUCTION'!$14:$16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123" i="1" l="1"/>
  <c r="M38" i="1"/>
  <c r="N38" i="1" s="1"/>
  <c r="M37" i="1"/>
  <c r="N37" i="1" s="1"/>
  <c r="M36" i="1"/>
  <c r="N36" i="1" s="1"/>
  <c r="N39" i="1"/>
  <c r="N28" i="1" l="1"/>
  <c r="M121" i="2"/>
  <c r="N121" i="2" s="1"/>
  <c r="M120" i="2"/>
  <c r="N120" i="2" s="1"/>
  <c r="M119" i="2"/>
  <c r="N119" i="2" s="1"/>
  <c r="M118" i="2"/>
  <c r="N118" i="2" s="1"/>
  <c r="M117" i="2"/>
  <c r="N117" i="2" s="1"/>
  <c r="M116" i="2"/>
  <c r="N116" i="2" s="1"/>
  <c r="M115" i="2"/>
  <c r="N115" i="2" s="1"/>
  <c r="M114" i="2"/>
  <c r="N114" i="2" s="1"/>
  <c r="M113" i="2"/>
  <c r="N113" i="2" s="1"/>
  <c r="M112" i="2"/>
  <c r="N112" i="2" s="1"/>
  <c r="M111" i="2"/>
  <c r="N111" i="2" s="1"/>
  <c r="M110" i="2"/>
  <c r="N110" i="2" s="1"/>
  <c r="M109" i="2"/>
  <c r="N109" i="2" s="1"/>
  <c r="M108" i="2"/>
  <c r="N108" i="2" s="1"/>
  <c r="M107" i="2"/>
  <c r="N107" i="2" s="1"/>
  <c r="M106" i="2"/>
  <c r="N106" i="2" s="1"/>
  <c r="M105" i="2"/>
  <c r="N105" i="2" s="1"/>
  <c r="M104" i="2"/>
  <c r="N104" i="2" s="1"/>
  <c r="M103" i="2"/>
  <c r="N103" i="2" s="1"/>
  <c r="M102" i="2"/>
  <c r="N102" i="2" s="1"/>
  <c r="M101" i="2"/>
  <c r="N101" i="2" s="1"/>
  <c r="M100" i="2"/>
  <c r="N100" i="2" s="1"/>
  <c r="M99" i="2"/>
  <c r="N99" i="2" s="1"/>
  <c r="M98" i="2"/>
  <c r="N98" i="2" s="1"/>
  <c r="M97" i="2"/>
  <c r="N97" i="2" s="1"/>
  <c r="M96" i="2"/>
  <c r="N96" i="2" s="1"/>
  <c r="M95" i="2"/>
  <c r="N95" i="2" s="1"/>
  <c r="M94" i="2"/>
  <c r="N94" i="2" s="1"/>
  <c r="M93" i="2"/>
  <c r="N93" i="2" s="1"/>
  <c r="M92" i="2"/>
  <c r="N92" i="2" s="1"/>
  <c r="M91" i="2"/>
  <c r="N91" i="2" s="1"/>
  <c r="M90" i="2"/>
  <c r="N90" i="2" s="1"/>
  <c r="M89" i="2"/>
  <c r="N89" i="2" s="1"/>
  <c r="M88" i="2"/>
  <c r="N88" i="2" s="1"/>
  <c r="M87" i="2"/>
  <c r="N87" i="2" s="1"/>
  <c r="M86" i="2"/>
  <c r="N86" i="2" s="1"/>
  <c r="M85" i="2"/>
  <c r="N85" i="2" s="1"/>
  <c r="M84" i="2"/>
  <c r="N84" i="2" s="1"/>
  <c r="M83" i="2"/>
  <c r="N83" i="2" s="1"/>
  <c r="M82" i="2"/>
  <c r="N82" i="2" s="1"/>
  <c r="M81" i="2"/>
  <c r="N81" i="2" s="1"/>
  <c r="M80" i="2"/>
  <c r="N80" i="2" s="1"/>
  <c r="M79" i="2"/>
  <c r="N79" i="2" s="1"/>
  <c r="M78" i="2"/>
  <c r="N78" i="2" s="1"/>
  <c r="M77" i="2"/>
  <c r="N77" i="2" s="1"/>
  <c r="M76" i="2"/>
  <c r="N76" i="2" s="1"/>
  <c r="M75" i="2"/>
  <c r="N75" i="2" s="1"/>
  <c r="M74" i="2"/>
  <c r="N74" i="2" s="1"/>
  <c r="M73" i="2"/>
  <c r="N73" i="2" s="1"/>
  <c r="M72" i="2"/>
  <c r="N72" i="2" s="1"/>
  <c r="M71" i="2"/>
  <c r="N71" i="2" s="1"/>
  <c r="M70" i="2"/>
  <c r="N70" i="2" s="1"/>
  <c r="M69" i="2"/>
  <c r="N69" i="2" s="1"/>
  <c r="M68" i="2"/>
  <c r="N68" i="2" s="1"/>
  <c r="M67" i="2"/>
  <c r="N67" i="2" s="1"/>
  <c r="M66" i="2"/>
  <c r="N66" i="2" s="1"/>
  <c r="M65" i="2"/>
  <c r="N65" i="2" s="1"/>
  <c r="N64" i="2"/>
  <c r="M64" i="2"/>
  <c r="M63" i="2"/>
  <c r="N63" i="2" s="1"/>
  <c r="M62" i="2"/>
  <c r="N62" i="2" s="1"/>
  <c r="M61" i="2"/>
  <c r="N61" i="2" s="1"/>
  <c r="M60" i="2"/>
  <c r="N60" i="2" s="1"/>
  <c r="M59" i="2"/>
  <c r="N59" i="2" s="1"/>
  <c r="M58" i="2"/>
  <c r="N58" i="2" s="1"/>
  <c r="M57" i="2"/>
  <c r="N57" i="2" s="1"/>
  <c r="M56" i="2"/>
  <c r="N56" i="2" s="1"/>
  <c r="M55" i="2"/>
  <c r="N55" i="2" s="1"/>
  <c r="M54" i="2"/>
  <c r="N54" i="2" s="1"/>
  <c r="M53" i="2"/>
  <c r="N53" i="2" s="1"/>
  <c r="M52" i="2"/>
  <c r="N52" i="2" s="1"/>
  <c r="M51" i="2"/>
  <c r="N51" i="2" s="1"/>
  <c r="M50" i="2"/>
  <c r="N50" i="2" s="1"/>
  <c r="M49" i="2"/>
  <c r="N49" i="2" s="1"/>
  <c r="M48" i="2"/>
  <c r="N48" i="2" s="1"/>
  <c r="M47" i="2"/>
  <c r="N47" i="2" s="1"/>
  <c r="M46" i="2"/>
  <c r="N46" i="2" s="1"/>
  <c r="M45" i="2"/>
  <c r="N45" i="2" s="1"/>
  <c r="M44" i="2"/>
  <c r="N44" i="2" s="1"/>
  <c r="M43" i="2"/>
  <c r="N43" i="2" s="1"/>
  <c r="M42" i="2"/>
  <c r="N42" i="2" s="1"/>
  <c r="M41" i="2"/>
  <c r="N41" i="2" s="1"/>
  <c r="M40" i="2"/>
  <c r="N40" i="2" s="1"/>
  <c r="M39" i="2"/>
  <c r="N39" i="2" s="1"/>
  <c r="M38" i="2"/>
  <c r="N38" i="2" s="1"/>
  <c r="M37" i="2"/>
  <c r="N37" i="2" s="1"/>
  <c r="M36" i="2"/>
  <c r="N36" i="2" s="1"/>
  <c r="M35" i="2"/>
  <c r="N35" i="2" s="1"/>
  <c r="M34" i="2"/>
  <c r="N34" i="2" s="1"/>
  <c r="M33" i="2"/>
  <c r="N33" i="2" s="1"/>
  <c r="N32" i="2"/>
  <c r="M32" i="2"/>
  <c r="M31" i="2"/>
  <c r="N31" i="2" s="1"/>
  <c r="M30" i="2"/>
  <c r="N30" i="2" s="1"/>
  <c r="M29" i="2"/>
  <c r="N29" i="2" s="1"/>
  <c r="M28" i="2"/>
  <c r="N28" i="2" s="1"/>
  <c r="M27" i="2"/>
  <c r="N27" i="2" s="1"/>
  <c r="M26" i="2"/>
  <c r="N26" i="2" s="1"/>
  <c r="M25" i="2"/>
  <c r="N25" i="2" s="1"/>
  <c r="M24" i="2"/>
  <c r="N24" i="2" s="1"/>
  <c r="M23" i="2"/>
  <c r="N23" i="2" s="1"/>
  <c r="M22" i="2"/>
  <c r="A20" i="2"/>
  <c r="M23" i="1"/>
  <c r="N23" i="1" s="1"/>
  <c r="M24" i="1"/>
  <c r="N24" i="1" s="1"/>
  <c r="M25" i="1"/>
  <c r="N25" i="1" s="1"/>
  <c r="M26" i="1"/>
  <c r="N26" i="1" s="1"/>
  <c r="M27" i="1"/>
  <c r="N27" i="1" s="1"/>
  <c r="M28" i="1"/>
  <c r="M29" i="1"/>
  <c r="N29" i="1" s="1"/>
  <c r="M30" i="1"/>
  <c r="M31" i="1"/>
  <c r="M32" i="1"/>
  <c r="N32" i="1" s="1"/>
  <c r="M33" i="1"/>
  <c r="N33" i="1" s="1"/>
  <c r="M34" i="1"/>
  <c r="N34" i="1" s="1"/>
  <c r="M35" i="1"/>
  <c r="N35" i="1" s="1"/>
  <c r="M39" i="1"/>
  <c r="M40" i="1"/>
  <c r="N40" i="1" s="1"/>
  <c r="M41" i="1"/>
  <c r="N41" i="1" s="1"/>
  <c r="M42" i="1"/>
  <c r="N42" i="1" s="1"/>
  <c r="M43" i="1"/>
  <c r="N43" i="1" s="1"/>
  <c r="M44" i="1"/>
  <c r="N44" i="1" s="1"/>
  <c r="M45" i="1"/>
  <c r="N45" i="1" s="1"/>
  <c r="M46" i="1"/>
  <c r="N46" i="1" s="1"/>
  <c r="M47" i="1"/>
  <c r="N47" i="1" s="1"/>
  <c r="M48" i="1"/>
  <c r="N48" i="1" s="1"/>
  <c r="M49" i="1"/>
  <c r="N49" i="1" s="1"/>
  <c r="M50" i="1"/>
  <c r="N50" i="1" s="1"/>
  <c r="M51" i="1"/>
  <c r="N51" i="1" s="1"/>
  <c r="M52" i="1"/>
  <c r="N52" i="1" s="1"/>
  <c r="M53" i="1"/>
  <c r="N53" i="1" s="1"/>
  <c r="M54" i="1"/>
  <c r="N54" i="1" s="1"/>
  <c r="M55" i="1"/>
  <c r="N55" i="1" s="1"/>
  <c r="M56" i="1"/>
  <c r="N56" i="1" s="1"/>
  <c r="M57" i="1"/>
  <c r="N57" i="1" s="1"/>
  <c r="M58" i="1"/>
  <c r="N58" i="1" s="1"/>
  <c r="M59" i="1"/>
  <c r="N59" i="1" s="1"/>
  <c r="M60" i="1"/>
  <c r="N60" i="1" s="1"/>
  <c r="M61" i="1"/>
  <c r="N61" i="1" s="1"/>
  <c r="M62" i="1"/>
  <c r="N62" i="1" s="1"/>
  <c r="M63" i="1"/>
  <c r="N63" i="1" s="1"/>
  <c r="M64" i="1"/>
  <c r="N64" i="1" s="1"/>
  <c r="M65" i="1"/>
  <c r="N65" i="1" s="1"/>
  <c r="M66" i="1"/>
  <c r="N66" i="1" s="1"/>
  <c r="M67" i="1"/>
  <c r="N67" i="1" s="1"/>
  <c r="M68" i="1"/>
  <c r="N68" i="1" s="1"/>
  <c r="M69" i="1"/>
  <c r="N69" i="1" s="1"/>
  <c r="M70" i="1"/>
  <c r="N70" i="1" s="1"/>
  <c r="M71" i="1"/>
  <c r="N71" i="1" s="1"/>
  <c r="M72" i="1"/>
  <c r="N72" i="1" s="1"/>
  <c r="M73" i="1"/>
  <c r="N73" i="1" s="1"/>
  <c r="M74" i="1"/>
  <c r="N74" i="1" s="1"/>
  <c r="M75" i="1"/>
  <c r="N75" i="1" s="1"/>
  <c r="M76" i="1"/>
  <c r="N76" i="1" s="1"/>
  <c r="M77" i="1"/>
  <c r="N77" i="1" s="1"/>
  <c r="M78" i="1"/>
  <c r="N78" i="1" s="1"/>
  <c r="M79" i="1"/>
  <c r="N79" i="1" s="1"/>
  <c r="M80" i="1"/>
  <c r="N80" i="1" s="1"/>
  <c r="M81" i="1"/>
  <c r="N81" i="1" s="1"/>
  <c r="M82" i="1"/>
  <c r="N82" i="1" s="1"/>
  <c r="M83" i="1"/>
  <c r="N83" i="1" s="1"/>
  <c r="M84" i="1"/>
  <c r="N84" i="1" s="1"/>
  <c r="M85" i="1"/>
  <c r="N85" i="1" s="1"/>
  <c r="M86" i="1"/>
  <c r="N86" i="1" s="1"/>
  <c r="M87" i="1"/>
  <c r="N87" i="1" s="1"/>
  <c r="M88" i="1"/>
  <c r="N88" i="1" s="1"/>
  <c r="M89" i="1"/>
  <c r="N89" i="1" s="1"/>
  <c r="M90" i="1"/>
  <c r="N90" i="1" s="1"/>
  <c r="M91" i="1"/>
  <c r="N91" i="1" s="1"/>
  <c r="M92" i="1"/>
  <c r="N92" i="1" s="1"/>
  <c r="M93" i="1"/>
  <c r="N93" i="1" s="1"/>
  <c r="M94" i="1"/>
  <c r="N94" i="1" s="1"/>
  <c r="M95" i="1"/>
  <c r="N95" i="1" s="1"/>
  <c r="M96" i="1"/>
  <c r="N96" i="1" s="1"/>
  <c r="M97" i="1"/>
  <c r="N97" i="1" s="1"/>
  <c r="M98" i="1"/>
  <c r="N98" i="1" s="1"/>
  <c r="M99" i="1"/>
  <c r="N99" i="1" s="1"/>
  <c r="M100" i="1"/>
  <c r="N100" i="1" s="1"/>
  <c r="M101" i="1"/>
  <c r="N101" i="1" s="1"/>
  <c r="M102" i="1"/>
  <c r="N102" i="1" s="1"/>
  <c r="M103" i="1"/>
  <c r="N103" i="1" s="1"/>
  <c r="M104" i="1"/>
  <c r="N104" i="1" s="1"/>
  <c r="M105" i="1"/>
  <c r="N105" i="1" s="1"/>
  <c r="M106" i="1"/>
  <c r="N106" i="1" s="1"/>
  <c r="M107" i="1"/>
  <c r="N107" i="1" s="1"/>
  <c r="M108" i="1"/>
  <c r="N108" i="1" s="1"/>
  <c r="M109" i="1"/>
  <c r="N109" i="1" s="1"/>
  <c r="M110" i="1"/>
  <c r="N110" i="1" s="1"/>
  <c r="M111" i="1"/>
  <c r="N111" i="1" s="1"/>
  <c r="M112" i="1"/>
  <c r="N112" i="1" s="1"/>
  <c r="M113" i="1"/>
  <c r="N113" i="1" s="1"/>
  <c r="M114" i="1"/>
  <c r="N114" i="1" s="1"/>
  <c r="M115" i="1"/>
  <c r="N115" i="1" s="1"/>
  <c r="M116" i="1"/>
  <c r="N116" i="1" s="1"/>
  <c r="M117" i="1"/>
  <c r="N117" i="1" s="1"/>
  <c r="M118" i="1"/>
  <c r="N118" i="1" s="1"/>
  <c r="M119" i="1"/>
  <c r="N119" i="1" s="1"/>
  <c r="M120" i="1"/>
  <c r="N120" i="1" s="1"/>
  <c r="M121" i="1"/>
  <c r="N121" i="1" s="1"/>
  <c r="M103" i="6"/>
  <c r="N103" i="6" s="1"/>
  <c r="M102" i="6"/>
  <c r="N102" i="6" s="1"/>
  <c r="M99" i="6"/>
  <c r="N99" i="6" s="1"/>
  <c r="N98" i="6"/>
  <c r="M98" i="6"/>
  <c r="N97" i="6"/>
  <c r="M97" i="6"/>
  <c r="N96" i="6"/>
  <c r="M96" i="6"/>
  <c r="M95" i="6"/>
  <c r="N95" i="6" s="1"/>
  <c r="M94" i="6"/>
  <c r="N94" i="6" s="1"/>
  <c r="M93" i="6"/>
  <c r="N93" i="6" s="1"/>
  <c r="M92" i="6"/>
  <c r="N92" i="6" s="1"/>
  <c r="M91" i="6"/>
  <c r="N91" i="6" s="1"/>
  <c r="M90" i="6"/>
  <c r="N90" i="6" s="1"/>
  <c r="M89" i="6"/>
  <c r="N89" i="6" s="1"/>
  <c r="N88" i="6"/>
  <c r="M88" i="6"/>
  <c r="N87" i="6"/>
  <c r="M87" i="6"/>
  <c r="N86" i="6"/>
  <c r="M86" i="6"/>
  <c r="M85" i="6"/>
  <c r="N85" i="6" s="1"/>
  <c r="M84" i="6"/>
  <c r="N84" i="6" s="1"/>
  <c r="M83" i="6"/>
  <c r="N83" i="6" s="1"/>
  <c r="M82" i="6"/>
  <c r="N82" i="6" s="1"/>
  <c r="M81" i="6"/>
  <c r="N81" i="6" s="1"/>
  <c r="M80" i="6"/>
  <c r="N80" i="6" s="1"/>
  <c r="M79" i="6"/>
  <c r="N79" i="6" s="1"/>
  <c r="N78" i="6"/>
  <c r="M78" i="6"/>
  <c r="N77" i="6"/>
  <c r="M77" i="6"/>
  <c r="N76" i="6"/>
  <c r="M76" i="6"/>
  <c r="M75" i="6"/>
  <c r="N75" i="6" s="1"/>
  <c r="M74" i="6"/>
  <c r="N74" i="6" s="1"/>
  <c r="M73" i="6"/>
  <c r="N73" i="6" s="1"/>
  <c r="M72" i="6"/>
  <c r="N72" i="6" s="1"/>
  <c r="M71" i="6"/>
  <c r="N71" i="6" s="1"/>
  <c r="M70" i="6"/>
  <c r="N70" i="6" s="1"/>
  <c r="M69" i="6"/>
  <c r="N69" i="6" s="1"/>
  <c r="N68" i="6"/>
  <c r="M68" i="6"/>
  <c r="N67" i="6"/>
  <c r="M67" i="6"/>
  <c r="N66" i="6"/>
  <c r="M66" i="6"/>
  <c r="M65" i="6"/>
  <c r="N65" i="6" s="1"/>
  <c r="M64" i="6"/>
  <c r="N64" i="6" s="1"/>
  <c r="M63" i="6"/>
  <c r="N63" i="6" s="1"/>
  <c r="M62" i="6"/>
  <c r="N62" i="6" s="1"/>
  <c r="M61" i="6"/>
  <c r="N61" i="6" s="1"/>
  <c r="M60" i="6"/>
  <c r="N60" i="6" s="1"/>
  <c r="M59" i="6"/>
  <c r="N59" i="6" s="1"/>
  <c r="N58" i="6"/>
  <c r="M58" i="6"/>
  <c r="N57" i="6"/>
  <c r="M57" i="6"/>
  <c r="N56" i="6"/>
  <c r="M56" i="6"/>
  <c r="M55" i="6"/>
  <c r="N55" i="6" s="1"/>
  <c r="M54" i="6"/>
  <c r="N54" i="6" s="1"/>
  <c r="M53" i="6"/>
  <c r="N53" i="6" s="1"/>
  <c r="M4" i="6"/>
  <c r="N4" i="6" s="1"/>
  <c r="M122" i="2" l="1"/>
  <c r="N22" i="2"/>
  <c r="AB122" i="1"/>
  <c r="A20" i="1"/>
  <c r="N124" i="2" l="1"/>
  <c r="N123" i="2"/>
  <c r="N126" i="2"/>
  <c r="N122" i="2"/>
  <c r="N125" i="2"/>
  <c r="X122" i="1"/>
  <c r="N127" i="2" l="1"/>
  <c r="N128" i="2" s="1"/>
  <c r="X127" i="1"/>
  <c r="M22" i="1"/>
  <c r="N22" i="1" s="1"/>
  <c r="U2" i="2" l="1"/>
  <c r="U20" i="2" s="1"/>
  <c r="N122" i="1" l="1"/>
  <c r="M122" i="1"/>
  <c r="N124" i="1" l="1"/>
  <c r="K124" i="1" s="1"/>
  <c r="A2" i="5"/>
  <c r="U2" i="1"/>
  <c r="N128" i="1" l="1"/>
  <c r="U20" i="1"/>
  <c r="N144" i="2" l="1"/>
  <c r="N146" i="2" s="1"/>
  <c r="Q110" i="5" l="1"/>
  <c r="N110" i="5"/>
  <c r="M110" i="5"/>
  <c r="I110" i="5"/>
  <c r="E110" i="5"/>
  <c r="D110" i="5"/>
  <c r="A110" i="5"/>
  <c r="Q67" i="5"/>
  <c r="A101" i="5"/>
  <c r="A102" i="5"/>
  <c r="A103" i="5"/>
  <c r="A104" i="5"/>
  <c r="A105" i="5"/>
  <c r="A106" i="5"/>
  <c r="A100" i="5"/>
  <c r="A94" i="5"/>
  <c r="A95" i="5"/>
  <c r="A96" i="5"/>
  <c r="A97" i="5"/>
  <c r="A98" i="5"/>
  <c r="A93" i="5"/>
  <c r="A92" i="5"/>
  <c r="A88" i="5"/>
  <c r="A89" i="5"/>
  <c r="A90" i="5"/>
  <c r="A87" i="5"/>
  <c r="A82" i="5"/>
  <c r="A83" i="5"/>
  <c r="A84" i="5"/>
  <c r="A85" i="5"/>
  <c r="A81" i="5"/>
  <c r="A71" i="5"/>
  <c r="A72" i="5"/>
  <c r="A73" i="5"/>
  <c r="A74" i="5"/>
  <c r="A70" i="5"/>
  <c r="A20" i="4"/>
  <c r="A6" i="4"/>
  <c r="A7" i="4"/>
  <c r="A8" i="4"/>
  <c r="A9" i="4"/>
  <c r="A6" i="5"/>
  <c r="A7" i="5"/>
  <c r="A8" i="5"/>
  <c r="A9" i="5"/>
  <c r="A5" i="4"/>
  <c r="A19" i="4" s="1"/>
  <c r="A5" i="5"/>
  <c r="A14" i="5" s="1"/>
  <c r="U34" i="4" l="1"/>
  <c r="A80" i="4"/>
  <c r="A81" i="4"/>
  <c r="A79" i="4"/>
  <c r="A78" i="4"/>
  <c r="A73" i="4"/>
  <c r="A74" i="4"/>
  <c r="A75" i="4"/>
  <c r="A76" i="4"/>
  <c r="A72" i="4"/>
  <c r="S72" i="4"/>
  <c r="T72" i="4"/>
  <c r="U72" i="4"/>
  <c r="V72" i="4"/>
  <c r="W72" i="4"/>
  <c r="X72" i="4"/>
  <c r="Y72" i="4"/>
  <c r="Z72" i="4"/>
  <c r="S73" i="4"/>
  <c r="T73" i="4"/>
  <c r="U73" i="4"/>
  <c r="V73" i="4"/>
  <c r="W73" i="4"/>
  <c r="X73" i="4"/>
  <c r="Y73" i="4"/>
  <c r="Z73" i="4"/>
  <c r="S74" i="4"/>
  <c r="T74" i="4"/>
  <c r="U74" i="4"/>
  <c r="V74" i="4"/>
  <c r="W74" i="4"/>
  <c r="X74" i="4"/>
  <c r="Y74" i="4"/>
  <c r="Z74" i="4"/>
  <c r="S75" i="4"/>
  <c r="T75" i="4"/>
  <c r="U75" i="4"/>
  <c r="V75" i="4"/>
  <c r="W75" i="4"/>
  <c r="X75" i="4"/>
  <c r="Y75" i="4"/>
  <c r="Z75" i="4"/>
  <c r="S76" i="4"/>
  <c r="T76" i="4"/>
  <c r="U76" i="4"/>
  <c r="V76" i="4"/>
  <c r="W76" i="4"/>
  <c r="X76" i="4"/>
  <c r="Y76" i="4"/>
  <c r="Z76" i="4"/>
  <c r="A23" i="4"/>
  <c r="B23" i="4"/>
  <c r="C23" i="4"/>
  <c r="D23" i="4"/>
  <c r="E23" i="4"/>
  <c r="F23" i="4"/>
  <c r="G23" i="4"/>
  <c r="H23" i="4"/>
  <c r="I23" i="4"/>
  <c r="J23" i="4"/>
  <c r="K23" i="4"/>
  <c r="L23" i="4"/>
  <c r="M23" i="4"/>
  <c r="N23" i="4"/>
  <c r="O23" i="4"/>
  <c r="P23" i="4"/>
  <c r="Q23" i="4"/>
  <c r="R23" i="4"/>
  <c r="S23" i="4"/>
  <c r="T23" i="4"/>
  <c r="U23" i="4"/>
  <c r="W23" i="4"/>
  <c r="X23" i="4"/>
  <c r="Y23" i="4"/>
  <c r="Z23" i="4"/>
  <c r="A24" i="4"/>
  <c r="B24" i="4"/>
  <c r="C24" i="4"/>
  <c r="D24" i="4"/>
  <c r="E24" i="4"/>
  <c r="F24" i="4"/>
  <c r="G24" i="4"/>
  <c r="H24" i="4"/>
  <c r="I24" i="4"/>
  <c r="J24" i="4"/>
  <c r="K24" i="4"/>
  <c r="L24" i="4"/>
  <c r="M24" i="4"/>
  <c r="N24" i="4"/>
  <c r="O24" i="4"/>
  <c r="P24" i="4"/>
  <c r="Q24" i="4"/>
  <c r="R24" i="4"/>
  <c r="S24" i="4"/>
  <c r="T24" i="4"/>
  <c r="W24" i="4"/>
  <c r="X24" i="4"/>
  <c r="Y24" i="4"/>
  <c r="Z24" i="4"/>
  <c r="A25" i="4"/>
  <c r="B25" i="4"/>
  <c r="C25" i="4"/>
  <c r="D25" i="4"/>
  <c r="E25" i="4"/>
  <c r="F25" i="4"/>
  <c r="G25" i="4"/>
  <c r="H25" i="4"/>
  <c r="I25" i="4"/>
  <c r="J25" i="4"/>
  <c r="K25" i="4"/>
  <c r="L25" i="4"/>
  <c r="M25" i="4"/>
  <c r="N25" i="4"/>
  <c r="O25" i="4"/>
  <c r="P25" i="4"/>
  <c r="Q25" i="4"/>
  <c r="R25" i="4"/>
  <c r="S25" i="4"/>
  <c r="T25" i="4"/>
  <c r="W25" i="4"/>
  <c r="X25" i="4"/>
  <c r="Y25" i="4"/>
  <c r="Z25" i="4"/>
  <c r="A26" i="4"/>
  <c r="B26" i="4"/>
  <c r="C26" i="4"/>
  <c r="D26" i="4"/>
  <c r="E26" i="4"/>
  <c r="F26" i="4"/>
  <c r="G26" i="4"/>
  <c r="H26" i="4"/>
  <c r="I26" i="4"/>
  <c r="J26" i="4"/>
  <c r="K26" i="4"/>
  <c r="L26" i="4"/>
  <c r="M26" i="4"/>
  <c r="N26" i="4"/>
  <c r="O26" i="4"/>
  <c r="P26" i="4"/>
  <c r="Q26" i="4"/>
  <c r="R26" i="4"/>
  <c r="S26" i="4"/>
  <c r="T26" i="4"/>
  <c r="U26" i="4"/>
  <c r="W26" i="4"/>
  <c r="X26" i="4"/>
  <c r="Y26" i="4"/>
  <c r="Z26" i="4"/>
  <c r="A27" i="4"/>
  <c r="B27" i="4"/>
  <c r="C27" i="4"/>
  <c r="D27" i="4"/>
  <c r="E27" i="4"/>
  <c r="F27" i="4"/>
  <c r="G27" i="4"/>
  <c r="H27" i="4"/>
  <c r="I27" i="4"/>
  <c r="J27" i="4"/>
  <c r="K27" i="4"/>
  <c r="L27" i="4"/>
  <c r="M27" i="4"/>
  <c r="N27" i="4"/>
  <c r="O27" i="4"/>
  <c r="P27" i="4"/>
  <c r="Q27" i="4"/>
  <c r="R27" i="4"/>
  <c r="S27" i="4"/>
  <c r="T27" i="4"/>
  <c r="U27" i="4"/>
  <c r="W27" i="4"/>
  <c r="X27" i="4"/>
  <c r="Y27" i="4"/>
  <c r="Z27" i="4"/>
  <c r="A28" i="4"/>
  <c r="B28" i="4"/>
  <c r="C28" i="4"/>
  <c r="D28" i="4"/>
  <c r="E28" i="4"/>
  <c r="F28" i="4"/>
  <c r="G28" i="4"/>
  <c r="H28" i="4"/>
  <c r="I28" i="4"/>
  <c r="J28" i="4"/>
  <c r="K28" i="4"/>
  <c r="L28" i="4"/>
  <c r="M28" i="4"/>
  <c r="N28" i="4"/>
  <c r="O28" i="4"/>
  <c r="P28" i="4"/>
  <c r="Q28" i="4"/>
  <c r="R28" i="4"/>
  <c r="S28" i="4"/>
  <c r="T28" i="4"/>
  <c r="W28" i="4"/>
  <c r="X28" i="4"/>
  <c r="Y28" i="4"/>
  <c r="Z28" i="4"/>
  <c r="A29" i="4"/>
  <c r="B29" i="4"/>
  <c r="C29" i="4"/>
  <c r="D29" i="4"/>
  <c r="E29" i="4"/>
  <c r="F29" i="4"/>
  <c r="G29" i="4"/>
  <c r="H29" i="4"/>
  <c r="I29" i="4"/>
  <c r="J29" i="4"/>
  <c r="K29" i="4"/>
  <c r="L29" i="4"/>
  <c r="M29" i="4"/>
  <c r="N29" i="4"/>
  <c r="O29" i="4"/>
  <c r="P29" i="4"/>
  <c r="Q29" i="4"/>
  <c r="R29" i="4"/>
  <c r="S29" i="4"/>
  <c r="T29" i="4"/>
  <c r="U29" i="4"/>
  <c r="W29" i="4"/>
  <c r="X29" i="4"/>
  <c r="Y29" i="4"/>
  <c r="Z29" i="4"/>
  <c r="A30" i="4"/>
  <c r="B30" i="4"/>
  <c r="C30" i="4"/>
  <c r="D30" i="4"/>
  <c r="E30" i="4"/>
  <c r="F30" i="4"/>
  <c r="G30" i="4"/>
  <c r="H30" i="4"/>
  <c r="I30" i="4"/>
  <c r="J30" i="4"/>
  <c r="K30" i="4"/>
  <c r="L30" i="4"/>
  <c r="M30" i="4"/>
  <c r="N30" i="4"/>
  <c r="O30" i="4"/>
  <c r="P30" i="4"/>
  <c r="Q30" i="4"/>
  <c r="R30" i="4"/>
  <c r="S30" i="4"/>
  <c r="T30" i="4"/>
  <c r="W30" i="4"/>
  <c r="X30" i="4"/>
  <c r="Y30" i="4"/>
  <c r="Z30" i="4"/>
  <c r="A31" i="4"/>
  <c r="B31" i="4"/>
  <c r="C31" i="4"/>
  <c r="D31" i="4"/>
  <c r="E31" i="4"/>
  <c r="F31" i="4"/>
  <c r="G31" i="4"/>
  <c r="H31" i="4"/>
  <c r="I31" i="4"/>
  <c r="J31" i="4"/>
  <c r="K31" i="4"/>
  <c r="L31" i="4"/>
  <c r="M31" i="4"/>
  <c r="N31" i="4"/>
  <c r="O31" i="4"/>
  <c r="P31" i="4"/>
  <c r="Q31" i="4"/>
  <c r="R31" i="4"/>
  <c r="S31" i="4"/>
  <c r="T31" i="4"/>
  <c r="W31" i="4"/>
  <c r="X31" i="4"/>
  <c r="Y31" i="4"/>
  <c r="Z31" i="4"/>
  <c r="A32" i="4"/>
  <c r="B32" i="4"/>
  <c r="C32" i="4"/>
  <c r="D32" i="4"/>
  <c r="E32" i="4"/>
  <c r="F32" i="4"/>
  <c r="G32" i="4"/>
  <c r="H32" i="4"/>
  <c r="I32" i="4"/>
  <c r="J32" i="4"/>
  <c r="K32" i="4"/>
  <c r="L32" i="4"/>
  <c r="M32" i="4"/>
  <c r="N32" i="4"/>
  <c r="O32" i="4"/>
  <c r="P32" i="4"/>
  <c r="Q32" i="4"/>
  <c r="R32" i="4"/>
  <c r="S32" i="4"/>
  <c r="T32" i="4"/>
  <c r="W32" i="4"/>
  <c r="X32" i="4"/>
  <c r="Y32" i="4"/>
  <c r="Z32" i="4"/>
  <c r="A33" i="4"/>
  <c r="B33" i="4"/>
  <c r="C33" i="4"/>
  <c r="D33" i="4"/>
  <c r="E33" i="4"/>
  <c r="F33" i="4"/>
  <c r="G33" i="4"/>
  <c r="H33" i="4"/>
  <c r="I33" i="4"/>
  <c r="J33" i="4"/>
  <c r="K33" i="4"/>
  <c r="L33" i="4"/>
  <c r="M33" i="4"/>
  <c r="N33" i="4"/>
  <c r="O33" i="4"/>
  <c r="P33" i="4"/>
  <c r="Q33" i="4"/>
  <c r="R33" i="4"/>
  <c r="S33" i="4"/>
  <c r="T33" i="4"/>
  <c r="U33" i="4"/>
  <c r="W33" i="4"/>
  <c r="X33" i="4"/>
  <c r="Y33" i="4"/>
  <c r="Z33" i="4"/>
  <c r="A34" i="4"/>
  <c r="B34" i="4"/>
  <c r="C34" i="4"/>
  <c r="D34" i="4"/>
  <c r="E34" i="4"/>
  <c r="F34" i="4"/>
  <c r="G34" i="4"/>
  <c r="H34" i="4"/>
  <c r="I34" i="4"/>
  <c r="J34" i="4"/>
  <c r="K34" i="4"/>
  <c r="L34" i="4"/>
  <c r="M34" i="4"/>
  <c r="N34" i="4"/>
  <c r="O34" i="4"/>
  <c r="P34" i="4"/>
  <c r="Q34" i="4"/>
  <c r="R34" i="4"/>
  <c r="S34" i="4"/>
  <c r="T34" i="4"/>
  <c r="W34" i="4"/>
  <c r="X34" i="4"/>
  <c r="Y34" i="4"/>
  <c r="Z34" i="4"/>
  <c r="A35" i="4"/>
  <c r="B35" i="4"/>
  <c r="C35" i="4"/>
  <c r="D35" i="4"/>
  <c r="E35" i="4"/>
  <c r="F35" i="4"/>
  <c r="G35" i="4"/>
  <c r="H35" i="4"/>
  <c r="I35" i="4"/>
  <c r="J35" i="4"/>
  <c r="K35" i="4"/>
  <c r="L35" i="4"/>
  <c r="M35" i="4"/>
  <c r="N35" i="4"/>
  <c r="O35" i="4"/>
  <c r="P35" i="4"/>
  <c r="Q35" i="4"/>
  <c r="R35" i="4"/>
  <c r="S35" i="4"/>
  <c r="T35" i="4"/>
  <c r="W35" i="4"/>
  <c r="X35" i="4"/>
  <c r="Y35" i="4"/>
  <c r="Z35" i="4"/>
  <c r="A36" i="4"/>
  <c r="B36" i="4"/>
  <c r="C36" i="4"/>
  <c r="D36" i="4"/>
  <c r="E36" i="4"/>
  <c r="F36" i="4"/>
  <c r="G36" i="4"/>
  <c r="H36" i="4"/>
  <c r="I36" i="4"/>
  <c r="J36" i="4"/>
  <c r="K36" i="4"/>
  <c r="L36" i="4"/>
  <c r="M36" i="4"/>
  <c r="N36" i="4"/>
  <c r="O36" i="4"/>
  <c r="P36" i="4"/>
  <c r="Q36" i="4"/>
  <c r="R36" i="4"/>
  <c r="S36" i="4"/>
  <c r="T36" i="4"/>
  <c r="W36" i="4"/>
  <c r="X36" i="4"/>
  <c r="Y36" i="4"/>
  <c r="Z36" i="4"/>
  <c r="A37" i="4"/>
  <c r="B37" i="4"/>
  <c r="C37" i="4"/>
  <c r="D37" i="4"/>
  <c r="E37" i="4"/>
  <c r="F37" i="4"/>
  <c r="G37" i="4"/>
  <c r="H37" i="4"/>
  <c r="I37" i="4"/>
  <c r="J37" i="4"/>
  <c r="K37" i="4"/>
  <c r="L37" i="4"/>
  <c r="M37" i="4"/>
  <c r="N37" i="4"/>
  <c r="O37" i="4"/>
  <c r="P37" i="4"/>
  <c r="Q37" i="4"/>
  <c r="R37" i="4"/>
  <c r="S37" i="4"/>
  <c r="T37" i="4"/>
  <c r="W37" i="4"/>
  <c r="X37" i="4"/>
  <c r="Y37" i="4"/>
  <c r="Z37" i="4"/>
  <c r="A38" i="4"/>
  <c r="B38" i="4"/>
  <c r="C38" i="4"/>
  <c r="D38" i="4"/>
  <c r="E38" i="4"/>
  <c r="F38" i="4"/>
  <c r="G38" i="4"/>
  <c r="H38" i="4"/>
  <c r="I38" i="4"/>
  <c r="J38" i="4"/>
  <c r="K38" i="4"/>
  <c r="L38" i="4"/>
  <c r="M38" i="4"/>
  <c r="N38" i="4"/>
  <c r="O38" i="4"/>
  <c r="P38" i="4"/>
  <c r="Q38" i="4"/>
  <c r="R38" i="4"/>
  <c r="S38" i="4"/>
  <c r="T38" i="4"/>
  <c r="W38" i="4"/>
  <c r="X38" i="4"/>
  <c r="Y38" i="4"/>
  <c r="Z38" i="4"/>
  <c r="A39" i="4"/>
  <c r="B39" i="4"/>
  <c r="C39" i="4"/>
  <c r="D39" i="4"/>
  <c r="E39" i="4"/>
  <c r="F39" i="4"/>
  <c r="G39" i="4"/>
  <c r="H39" i="4"/>
  <c r="I39" i="4"/>
  <c r="J39" i="4"/>
  <c r="K39" i="4"/>
  <c r="L39" i="4"/>
  <c r="M39" i="4"/>
  <c r="N39" i="4"/>
  <c r="O39" i="4"/>
  <c r="P39" i="4"/>
  <c r="Q39" i="4"/>
  <c r="R39" i="4"/>
  <c r="S39" i="4"/>
  <c r="T39" i="4"/>
  <c r="U39" i="4"/>
  <c r="W39" i="4"/>
  <c r="X39" i="4"/>
  <c r="Y39" i="4"/>
  <c r="Z39" i="4"/>
  <c r="A40" i="4"/>
  <c r="B40" i="4"/>
  <c r="C40" i="4"/>
  <c r="D40" i="4"/>
  <c r="E40" i="4"/>
  <c r="F40" i="4"/>
  <c r="G40" i="4"/>
  <c r="H40" i="4"/>
  <c r="I40" i="4"/>
  <c r="J40" i="4"/>
  <c r="K40" i="4"/>
  <c r="L40" i="4"/>
  <c r="M40" i="4"/>
  <c r="N40" i="4"/>
  <c r="O40" i="4"/>
  <c r="P40" i="4"/>
  <c r="Q40" i="4"/>
  <c r="R40" i="4"/>
  <c r="S40" i="4"/>
  <c r="T40" i="4"/>
  <c r="W40" i="4"/>
  <c r="X40" i="4"/>
  <c r="Y40" i="4"/>
  <c r="Z40" i="4"/>
  <c r="A41" i="4"/>
  <c r="B41" i="4"/>
  <c r="C41" i="4"/>
  <c r="D41" i="4"/>
  <c r="E41" i="4"/>
  <c r="F41" i="4"/>
  <c r="G41" i="4"/>
  <c r="H41" i="4"/>
  <c r="I41" i="4"/>
  <c r="J41" i="4"/>
  <c r="K41" i="4"/>
  <c r="L41" i="4"/>
  <c r="M41" i="4"/>
  <c r="N41" i="4"/>
  <c r="O41" i="4"/>
  <c r="P41" i="4"/>
  <c r="Q41" i="4"/>
  <c r="R41" i="4"/>
  <c r="S41" i="4"/>
  <c r="T41" i="4"/>
  <c r="U41" i="4"/>
  <c r="W41" i="4"/>
  <c r="X41" i="4"/>
  <c r="Y41" i="4"/>
  <c r="Z41" i="4"/>
  <c r="A42" i="4"/>
  <c r="B42" i="4"/>
  <c r="C42" i="4"/>
  <c r="D42" i="4"/>
  <c r="E42" i="4"/>
  <c r="F42" i="4"/>
  <c r="G42" i="4"/>
  <c r="H42" i="4"/>
  <c r="I42" i="4"/>
  <c r="J42" i="4"/>
  <c r="K42" i="4"/>
  <c r="L42" i="4"/>
  <c r="M42" i="4"/>
  <c r="N42" i="4"/>
  <c r="O42" i="4"/>
  <c r="P42" i="4"/>
  <c r="Q42" i="4"/>
  <c r="R42" i="4"/>
  <c r="S42" i="4"/>
  <c r="T42" i="4"/>
  <c r="U42" i="4"/>
  <c r="W42" i="4"/>
  <c r="X42" i="4"/>
  <c r="Y42" i="4"/>
  <c r="Z42" i="4"/>
  <c r="A43" i="4"/>
  <c r="B43" i="4"/>
  <c r="C43" i="4"/>
  <c r="D43" i="4"/>
  <c r="E43" i="4"/>
  <c r="F43" i="4"/>
  <c r="G43" i="4"/>
  <c r="H43" i="4"/>
  <c r="I43" i="4"/>
  <c r="J43" i="4"/>
  <c r="K43" i="4"/>
  <c r="L43" i="4"/>
  <c r="M43" i="4"/>
  <c r="N43" i="4"/>
  <c r="O43" i="4"/>
  <c r="P43" i="4"/>
  <c r="Q43" i="4"/>
  <c r="R43" i="4"/>
  <c r="S43" i="4"/>
  <c r="T43" i="4"/>
  <c r="W43" i="4"/>
  <c r="X43" i="4"/>
  <c r="Y43" i="4"/>
  <c r="Z43" i="4"/>
  <c r="A44" i="4"/>
  <c r="B44" i="4"/>
  <c r="C44" i="4"/>
  <c r="D44" i="4"/>
  <c r="E44" i="4"/>
  <c r="F44" i="4"/>
  <c r="G44" i="4"/>
  <c r="H44" i="4"/>
  <c r="I44" i="4"/>
  <c r="J44" i="4"/>
  <c r="K44" i="4"/>
  <c r="L44" i="4"/>
  <c r="M44" i="4"/>
  <c r="N44" i="4"/>
  <c r="O44" i="4"/>
  <c r="P44" i="4"/>
  <c r="Q44" i="4"/>
  <c r="R44" i="4"/>
  <c r="S44" i="4"/>
  <c r="T44" i="4"/>
  <c r="W44" i="4"/>
  <c r="X44" i="4"/>
  <c r="Y44" i="4"/>
  <c r="Z44" i="4"/>
  <c r="A45" i="4"/>
  <c r="B45" i="4"/>
  <c r="C45" i="4"/>
  <c r="D45" i="4"/>
  <c r="E45" i="4"/>
  <c r="F45" i="4"/>
  <c r="G45" i="4"/>
  <c r="H45" i="4"/>
  <c r="I45" i="4"/>
  <c r="J45" i="4"/>
  <c r="K45" i="4"/>
  <c r="L45" i="4"/>
  <c r="M45" i="4"/>
  <c r="N45" i="4"/>
  <c r="O45" i="4"/>
  <c r="P45" i="4"/>
  <c r="Q45" i="4"/>
  <c r="R45" i="4"/>
  <c r="S45" i="4"/>
  <c r="T45" i="4"/>
  <c r="U45" i="4"/>
  <c r="W45" i="4"/>
  <c r="X45" i="4"/>
  <c r="Y45" i="4"/>
  <c r="Z45" i="4"/>
  <c r="A46" i="4"/>
  <c r="B46" i="4"/>
  <c r="C46" i="4"/>
  <c r="D46" i="4"/>
  <c r="E46" i="4"/>
  <c r="F46" i="4"/>
  <c r="G46" i="4"/>
  <c r="H46" i="4"/>
  <c r="I46" i="4"/>
  <c r="J46" i="4"/>
  <c r="K46" i="4"/>
  <c r="L46" i="4"/>
  <c r="M46" i="4"/>
  <c r="N46" i="4"/>
  <c r="O46" i="4"/>
  <c r="P46" i="4"/>
  <c r="Q46" i="4"/>
  <c r="R46" i="4"/>
  <c r="S46" i="4"/>
  <c r="T46" i="4"/>
  <c r="W46" i="4"/>
  <c r="X46" i="4"/>
  <c r="Y46" i="4"/>
  <c r="Z46" i="4"/>
  <c r="A47" i="4"/>
  <c r="B47" i="4"/>
  <c r="C47" i="4"/>
  <c r="D47" i="4"/>
  <c r="E47" i="4"/>
  <c r="F47" i="4"/>
  <c r="G47" i="4"/>
  <c r="H47" i="4"/>
  <c r="I47" i="4"/>
  <c r="J47" i="4"/>
  <c r="K47" i="4"/>
  <c r="L47" i="4"/>
  <c r="M47" i="4"/>
  <c r="N47" i="4"/>
  <c r="O47" i="4"/>
  <c r="P47" i="4"/>
  <c r="Q47" i="4"/>
  <c r="R47" i="4"/>
  <c r="S47" i="4"/>
  <c r="T47" i="4"/>
  <c r="U47" i="4"/>
  <c r="W47" i="4"/>
  <c r="X47" i="4"/>
  <c r="Y47" i="4"/>
  <c r="Z47" i="4"/>
  <c r="A48" i="4"/>
  <c r="B48" i="4"/>
  <c r="C48" i="4"/>
  <c r="D48" i="4"/>
  <c r="E48" i="4"/>
  <c r="F48" i="4"/>
  <c r="G48" i="4"/>
  <c r="H48" i="4"/>
  <c r="I48" i="4"/>
  <c r="J48" i="4"/>
  <c r="K48" i="4"/>
  <c r="L48" i="4"/>
  <c r="M48" i="4"/>
  <c r="N48" i="4"/>
  <c r="O48" i="4"/>
  <c r="P48" i="4"/>
  <c r="Q48" i="4"/>
  <c r="R48" i="4"/>
  <c r="S48" i="4"/>
  <c r="T48" i="4"/>
  <c r="U48" i="4"/>
  <c r="W48" i="4"/>
  <c r="X48" i="4"/>
  <c r="Y48" i="4"/>
  <c r="Z48" i="4"/>
  <c r="A49" i="4"/>
  <c r="B49" i="4"/>
  <c r="C49" i="4"/>
  <c r="D49" i="4"/>
  <c r="E49" i="4"/>
  <c r="F49" i="4"/>
  <c r="G49" i="4"/>
  <c r="H49" i="4"/>
  <c r="I49" i="4"/>
  <c r="J49" i="4"/>
  <c r="K49" i="4"/>
  <c r="L49" i="4"/>
  <c r="M49" i="4"/>
  <c r="N49" i="4"/>
  <c r="O49" i="4"/>
  <c r="P49" i="4"/>
  <c r="Q49" i="4"/>
  <c r="R49" i="4"/>
  <c r="S49" i="4"/>
  <c r="T49" i="4"/>
  <c r="U49" i="4"/>
  <c r="W49" i="4"/>
  <c r="X49" i="4"/>
  <c r="Y49" i="4"/>
  <c r="Z49" i="4"/>
  <c r="A50" i="4"/>
  <c r="B50" i="4"/>
  <c r="C50" i="4"/>
  <c r="D50" i="4"/>
  <c r="E50" i="4"/>
  <c r="F50" i="4"/>
  <c r="G50" i="4"/>
  <c r="H50" i="4"/>
  <c r="I50" i="4"/>
  <c r="J50" i="4"/>
  <c r="K50" i="4"/>
  <c r="L50" i="4"/>
  <c r="M50" i="4"/>
  <c r="N50" i="4"/>
  <c r="O50" i="4"/>
  <c r="P50" i="4"/>
  <c r="Q50" i="4"/>
  <c r="R50" i="4"/>
  <c r="S50" i="4"/>
  <c r="T50" i="4"/>
  <c r="W50" i="4"/>
  <c r="X50" i="4"/>
  <c r="Y50" i="4"/>
  <c r="Z50" i="4"/>
  <c r="A51" i="4"/>
  <c r="B51" i="4"/>
  <c r="C51" i="4"/>
  <c r="D51" i="4"/>
  <c r="E51" i="4"/>
  <c r="F51" i="4"/>
  <c r="G51" i="4"/>
  <c r="H51" i="4"/>
  <c r="I51" i="4"/>
  <c r="J51" i="4"/>
  <c r="K51" i="4"/>
  <c r="L51" i="4"/>
  <c r="M51" i="4"/>
  <c r="N51" i="4"/>
  <c r="O51" i="4"/>
  <c r="P51" i="4"/>
  <c r="Q51" i="4"/>
  <c r="R51" i="4"/>
  <c r="S51" i="4"/>
  <c r="T51" i="4"/>
  <c r="U51" i="4"/>
  <c r="W51" i="4"/>
  <c r="X51" i="4"/>
  <c r="Y51" i="4"/>
  <c r="Z51" i="4"/>
  <c r="A52" i="4"/>
  <c r="B52" i="4"/>
  <c r="C52" i="4"/>
  <c r="D52" i="4"/>
  <c r="E52" i="4"/>
  <c r="F52" i="4"/>
  <c r="G52" i="4"/>
  <c r="H52" i="4"/>
  <c r="I52" i="4"/>
  <c r="J52" i="4"/>
  <c r="K52" i="4"/>
  <c r="L52" i="4"/>
  <c r="M52" i="4"/>
  <c r="N52" i="4"/>
  <c r="O52" i="4"/>
  <c r="P52" i="4"/>
  <c r="Q52" i="4"/>
  <c r="R52" i="4"/>
  <c r="S52" i="4"/>
  <c r="T52" i="4"/>
  <c r="W52" i="4"/>
  <c r="X52" i="4"/>
  <c r="Y52" i="4"/>
  <c r="Z52" i="4"/>
  <c r="A53" i="4"/>
  <c r="B53" i="4"/>
  <c r="C53" i="4"/>
  <c r="D53" i="4"/>
  <c r="E53" i="4"/>
  <c r="F53" i="4"/>
  <c r="G53" i="4"/>
  <c r="H53" i="4"/>
  <c r="I53" i="4"/>
  <c r="J53" i="4"/>
  <c r="K53" i="4"/>
  <c r="L53" i="4"/>
  <c r="M53" i="4"/>
  <c r="N53" i="4"/>
  <c r="O53" i="4"/>
  <c r="P53" i="4"/>
  <c r="Q53" i="4"/>
  <c r="R53" i="4"/>
  <c r="S53" i="4"/>
  <c r="T53" i="4"/>
  <c r="W53" i="4"/>
  <c r="X53" i="4"/>
  <c r="Y53" i="4"/>
  <c r="Z53" i="4"/>
  <c r="A54" i="4"/>
  <c r="B54" i="4"/>
  <c r="C54" i="4"/>
  <c r="D54" i="4"/>
  <c r="E54" i="4"/>
  <c r="F54" i="4"/>
  <c r="G54" i="4"/>
  <c r="H54" i="4"/>
  <c r="I54" i="4"/>
  <c r="J54" i="4"/>
  <c r="K54" i="4"/>
  <c r="L54" i="4"/>
  <c r="M54" i="4"/>
  <c r="N54" i="4"/>
  <c r="O54" i="4"/>
  <c r="P54" i="4"/>
  <c r="Q54" i="4"/>
  <c r="R54" i="4"/>
  <c r="S54" i="4"/>
  <c r="T54" i="4"/>
  <c r="W54" i="4"/>
  <c r="X54" i="4"/>
  <c r="Y54" i="4"/>
  <c r="Z54" i="4"/>
  <c r="A55" i="4"/>
  <c r="B55" i="4"/>
  <c r="C55" i="4"/>
  <c r="D55" i="4"/>
  <c r="E55" i="4"/>
  <c r="F55" i="4"/>
  <c r="G55" i="4"/>
  <c r="H55" i="4"/>
  <c r="I55" i="4"/>
  <c r="J55" i="4"/>
  <c r="K55" i="4"/>
  <c r="L55" i="4"/>
  <c r="M55" i="4"/>
  <c r="N55" i="4"/>
  <c r="O55" i="4"/>
  <c r="P55" i="4"/>
  <c r="Q55" i="4"/>
  <c r="R55" i="4"/>
  <c r="S55" i="4"/>
  <c r="T55" i="4"/>
  <c r="U55" i="4"/>
  <c r="W55" i="4"/>
  <c r="X55" i="4"/>
  <c r="Y55" i="4"/>
  <c r="Z55" i="4"/>
  <c r="A56" i="4"/>
  <c r="B56" i="4"/>
  <c r="C56" i="4"/>
  <c r="D56" i="4"/>
  <c r="E56" i="4"/>
  <c r="F56" i="4"/>
  <c r="G56" i="4"/>
  <c r="H56" i="4"/>
  <c r="I56" i="4"/>
  <c r="J56" i="4"/>
  <c r="K56" i="4"/>
  <c r="L56" i="4"/>
  <c r="M56" i="4"/>
  <c r="N56" i="4"/>
  <c r="O56" i="4"/>
  <c r="P56" i="4"/>
  <c r="Q56" i="4"/>
  <c r="R56" i="4"/>
  <c r="S56" i="4"/>
  <c r="T56" i="4"/>
  <c r="U56" i="4"/>
  <c r="W56" i="4"/>
  <c r="X56" i="4"/>
  <c r="Y56" i="4"/>
  <c r="Z56" i="4"/>
  <c r="A57" i="4"/>
  <c r="B57" i="4"/>
  <c r="C57" i="4"/>
  <c r="D57" i="4"/>
  <c r="E57" i="4"/>
  <c r="F57" i="4"/>
  <c r="G57" i="4"/>
  <c r="H57" i="4"/>
  <c r="I57" i="4"/>
  <c r="J57" i="4"/>
  <c r="K57" i="4"/>
  <c r="L57" i="4"/>
  <c r="M57" i="4"/>
  <c r="N57" i="4"/>
  <c r="O57" i="4"/>
  <c r="P57" i="4"/>
  <c r="Q57" i="4"/>
  <c r="R57" i="4"/>
  <c r="S57" i="4"/>
  <c r="T57" i="4"/>
  <c r="W57" i="4"/>
  <c r="X57" i="4"/>
  <c r="Y57" i="4"/>
  <c r="Z57" i="4"/>
  <c r="A58" i="4"/>
  <c r="B58" i="4"/>
  <c r="C58" i="4"/>
  <c r="D58" i="4"/>
  <c r="E58" i="4"/>
  <c r="F58" i="4"/>
  <c r="G58" i="4"/>
  <c r="H58" i="4"/>
  <c r="I58" i="4"/>
  <c r="J58" i="4"/>
  <c r="K58" i="4"/>
  <c r="L58" i="4"/>
  <c r="M58" i="4"/>
  <c r="N58" i="4"/>
  <c r="O58" i="4"/>
  <c r="P58" i="4"/>
  <c r="Q58" i="4"/>
  <c r="R58" i="4"/>
  <c r="S58" i="4"/>
  <c r="T58" i="4"/>
  <c r="W58" i="4"/>
  <c r="X58" i="4"/>
  <c r="Y58" i="4"/>
  <c r="Z58" i="4"/>
  <c r="A59" i="4"/>
  <c r="B59" i="4"/>
  <c r="C59" i="4"/>
  <c r="D59" i="4"/>
  <c r="E59" i="4"/>
  <c r="F59" i="4"/>
  <c r="G59" i="4"/>
  <c r="H59" i="4"/>
  <c r="I59" i="4"/>
  <c r="J59" i="4"/>
  <c r="K59" i="4"/>
  <c r="L59" i="4"/>
  <c r="M59" i="4"/>
  <c r="N59" i="4"/>
  <c r="O59" i="4"/>
  <c r="P59" i="4"/>
  <c r="Q59" i="4"/>
  <c r="R59" i="4"/>
  <c r="S59" i="4"/>
  <c r="T59" i="4"/>
  <c r="U59" i="4"/>
  <c r="W59" i="4"/>
  <c r="X59" i="4"/>
  <c r="Y59" i="4"/>
  <c r="Z59" i="4"/>
  <c r="A60" i="4"/>
  <c r="B60" i="4"/>
  <c r="C60" i="4"/>
  <c r="D60" i="4"/>
  <c r="E60" i="4"/>
  <c r="F60" i="4"/>
  <c r="G60" i="4"/>
  <c r="H60" i="4"/>
  <c r="I60" i="4"/>
  <c r="J60" i="4"/>
  <c r="K60" i="4"/>
  <c r="L60" i="4"/>
  <c r="M60" i="4"/>
  <c r="N60" i="4"/>
  <c r="O60" i="4"/>
  <c r="P60" i="4"/>
  <c r="Q60" i="4"/>
  <c r="R60" i="4"/>
  <c r="S60" i="4"/>
  <c r="T60" i="4"/>
  <c r="U60" i="4"/>
  <c r="W60" i="4"/>
  <c r="X60" i="4"/>
  <c r="Y60" i="4"/>
  <c r="Z60" i="4"/>
  <c r="A61" i="4"/>
  <c r="B61" i="4"/>
  <c r="C61" i="4"/>
  <c r="D61" i="4"/>
  <c r="E61" i="4"/>
  <c r="F61" i="4"/>
  <c r="G61" i="4"/>
  <c r="H61" i="4"/>
  <c r="I61" i="4"/>
  <c r="J61" i="4"/>
  <c r="K61" i="4"/>
  <c r="L61" i="4"/>
  <c r="M61" i="4"/>
  <c r="N61" i="4"/>
  <c r="O61" i="4"/>
  <c r="P61" i="4"/>
  <c r="Q61" i="4"/>
  <c r="R61" i="4"/>
  <c r="S61" i="4"/>
  <c r="T61" i="4"/>
  <c r="U61" i="4"/>
  <c r="W61" i="4"/>
  <c r="X61" i="4"/>
  <c r="Y61" i="4"/>
  <c r="Z61" i="4"/>
  <c r="A62" i="4"/>
  <c r="B62" i="4"/>
  <c r="C62" i="4"/>
  <c r="D62" i="4"/>
  <c r="E62" i="4"/>
  <c r="F62" i="4"/>
  <c r="G62" i="4"/>
  <c r="H62" i="4"/>
  <c r="I62" i="4"/>
  <c r="J62" i="4"/>
  <c r="K62" i="4"/>
  <c r="L62" i="4"/>
  <c r="M62" i="4"/>
  <c r="N62" i="4"/>
  <c r="O62" i="4"/>
  <c r="P62" i="4"/>
  <c r="Q62" i="4"/>
  <c r="R62" i="4"/>
  <c r="S62" i="4"/>
  <c r="T62" i="4"/>
  <c r="W62" i="4"/>
  <c r="X62" i="4"/>
  <c r="Y62" i="4"/>
  <c r="Z62" i="4"/>
  <c r="A63" i="4"/>
  <c r="B63" i="4"/>
  <c r="C63" i="4"/>
  <c r="D63" i="4"/>
  <c r="E63" i="4"/>
  <c r="F63" i="4"/>
  <c r="G63" i="4"/>
  <c r="H63" i="4"/>
  <c r="I63" i="4"/>
  <c r="J63" i="4"/>
  <c r="K63" i="4"/>
  <c r="L63" i="4"/>
  <c r="M63" i="4"/>
  <c r="N63" i="4"/>
  <c r="O63" i="4"/>
  <c r="P63" i="4"/>
  <c r="Q63" i="4"/>
  <c r="R63" i="4"/>
  <c r="S63" i="4"/>
  <c r="T63" i="4"/>
  <c r="U63" i="4"/>
  <c r="W63" i="4"/>
  <c r="X63" i="4"/>
  <c r="Y63" i="4"/>
  <c r="Z63" i="4"/>
  <c r="A64" i="4"/>
  <c r="B64" i="4"/>
  <c r="C64" i="4"/>
  <c r="D64" i="4"/>
  <c r="E64" i="4"/>
  <c r="F64" i="4"/>
  <c r="G64" i="4"/>
  <c r="H64" i="4"/>
  <c r="I64" i="4"/>
  <c r="J64" i="4"/>
  <c r="K64" i="4"/>
  <c r="L64" i="4"/>
  <c r="M64" i="4"/>
  <c r="N64" i="4"/>
  <c r="O64" i="4"/>
  <c r="P64" i="4"/>
  <c r="Q64" i="4"/>
  <c r="R64" i="4"/>
  <c r="S64" i="4"/>
  <c r="T64" i="4"/>
  <c r="U64" i="4"/>
  <c r="W64" i="4"/>
  <c r="X64" i="4"/>
  <c r="Y64" i="4"/>
  <c r="Z64" i="4"/>
  <c r="A65" i="4"/>
  <c r="B65" i="4"/>
  <c r="C65" i="4"/>
  <c r="D65" i="4"/>
  <c r="E65" i="4"/>
  <c r="F65" i="4"/>
  <c r="G65" i="4"/>
  <c r="H65" i="4"/>
  <c r="I65" i="4"/>
  <c r="J65" i="4"/>
  <c r="K65" i="4"/>
  <c r="L65" i="4"/>
  <c r="M65" i="4"/>
  <c r="N65" i="4"/>
  <c r="O65" i="4"/>
  <c r="P65" i="4"/>
  <c r="Q65" i="4"/>
  <c r="R65" i="4"/>
  <c r="S65" i="4"/>
  <c r="T65" i="4"/>
  <c r="U65" i="4"/>
  <c r="W65" i="4"/>
  <c r="X65" i="4"/>
  <c r="Y65" i="4"/>
  <c r="Z65" i="4"/>
  <c r="A66" i="4"/>
  <c r="B66" i="4"/>
  <c r="C66" i="4"/>
  <c r="D66" i="4"/>
  <c r="E66" i="4"/>
  <c r="F66" i="4"/>
  <c r="G66" i="4"/>
  <c r="H66" i="4"/>
  <c r="I66" i="4"/>
  <c r="J66" i="4"/>
  <c r="K66" i="4"/>
  <c r="L66" i="4"/>
  <c r="M66" i="4"/>
  <c r="N66" i="4"/>
  <c r="O66" i="4"/>
  <c r="P66" i="4"/>
  <c r="Q66" i="4"/>
  <c r="R66" i="4"/>
  <c r="S66" i="4"/>
  <c r="T66" i="4"/>
  <c r="W66" i="4"/>
  <c r="X66" i="4"/>
  <c r="Y66" i="4"/>
  <c r="Z66" i="4"/>
  <c r="A67" i="4"/>
  <c r="B67" i="4"/>
  <c r="C67" i="4"/>
  <c r="D67" i="4"/>
  <c r="E67" i="4"/>
  <c r="F67" i="4"/>
  <c r="G67" i="4"/>
  <c r="H67" i="4"/>
  <c r="I67" i="4"/>
  <c r="J67" i="4"/>
  <c r="K67" i="4"/>
  <c r="L67" i="4"/>
  <c r="M67" i="4"/>
  <c r="N67" i="4"/>
  <c r="O67" i="4"/>
  <c r="P67" i="4"/>
  <c r="Q67" i="4"/>
  <c r="R67" i="4"/>
  <c r="S67" i="4"/>
  <c r="T67" i="4"/>
  <c r="W67" i="4"/>
  <c r="X67" i="4"/>
  <c r="Y67" i="4"/>
  <c r="Z67" i="4"/>
  <c r="A68" i="4"/>
  <c r="B68" i="4"/>
  <c r="C68" i="4"/>
  <c r="D68" i="4"/>
  <c r="E68" i="4"/>
  <c r="F68" i="4"/>
  <c r="G68" i="4"/>
  <c r="H68" i="4"/>
  <c r="I68" i="4"/>
  <c r="J68" i="4"/>
  <c r="K68" i="4"/>
  <c r="L68" i="4"/>
  <c r="M68" i="4"/>
  <c r="N68" i="4"/>
  <c r="O68" i="4"/>
  <c r="P68" i="4"/>
  <c r="Q68" i="4"/>
  <c r="R68" i="4"/>
  <c r="S68" i="4"/>
  <c r="T68" i="4"/>
  <c r="U68" i="4"/>
  <c r="W68" i="4"/>
  <c r="X68" i="4"/>
  <c r="Y68" i="4"/>
  <c r="Z68" i="4"/>
  <c r="A69" i="4"/>
  <c r="B69" i="4"/>
  <c r="C69" i="4"/>
  <c r="D69" i="4"/>
  <c r="E69" i="4"/>
  <c r="F69" i="4"/>
  <c r="G69" i="4"/>
  <c r="H69" i="4"/>
  <c r="I69" i="4"/>
  <c r="J69" i="4"/>
  <c r="K69" i="4"/>
  <c r="L69" i="4"/>
  <c r="M69" i="4"/>
  <c r="N69" i="4"/>
  <c r="O69" i="4"/>
  <c r="P69" i="4"/>
  <c r="Q69" i="4"/>
  <c r="R69" i="4"/>
  <c r="S69" i="4"/>
  <c r="T69" i="4"/>
  <c r="W69" i="4"/>
  <c r="X69" i="4"/>
  <c r="Y69" i="4"/>
  <c r="Z69" i="4"/>
  <c r="A70" i="4"/>
  <c r="B70" i="4"/>
  <c r="C70" i="4"/>
  <c r="D70" i="4"/>
  <c r="E70" i="4"/>
  <c r="F70" i="4"/>
  <c r="G70" i="4"/>
  <c r="H70" i="4"/>
  <c r="I70" i="4"/>
  <c r="J70" i="4"/>
  <c r="K70" i="4"/>
  <c r="L70" i="4"/>
  <c r="M70" i="4"/>
  <c r="N70" i="4"/>
  <c r="O70" i="4"/>
  <c r="P70" i="4"/>
  <c r="Q70" i="4"/>
  <c r="R70" i="4"/>
  <c r="S70" i="4"/>
  <c r="T70" i="4"/>
  <c r="W70" i="4"/>
  <c r="X70" i="4"/>
  <c r="Y70" i="4"/>
  <c r="Z70" i="4"/>
  <c r="A71" i="4"/>
  <c r="B71" i="4"/>
  <c r="C71" i="4"/>
  <c r="D71" i="4"/>
  <c r="E71" i="4"/>
  <c r="F71" i="4"/>
  <c r="G71" i="4"/>
  <c r="H71" i="4"/>
  <c r="I71" i="4"/>
  <c r="J71" i="4"/>
  <c r="K71" i="4"/>
  <c r="L71" i="4"/>
  <c r="M71" i="4"/>
  <c r="N71" i="4"/>
  <c r="O71" i="4"/>
  <c r="P71" i="4"/>
  <c r="Q71" i="4"/>
  <c r="R71" i="4"/>
  <c r="S71" i="4"/>
  <c r="T71" i="4"/>
  <c r="U71" i="4"/>
  <c r="W71" i="4"/>
  <c r="X71" i="4"/>
  <c r="Y71" i="4"/>
  <c r="Z71" i="4"/>
  <c r="H22" i="4"/>
  <c r="I22" i="4"/>
  <c r="J22" i="4"/>
  <c r="K22" i="4"/>
  <c r="L22" i="4"/>
  <c r="M22" i="4"/>
  <c r="N22" i="4"/>
  <c r="O22" i="4"/>
  <c r="P22" i="4"/>
  <c r="Q22" i="4"/>
  <c r="R22" i="4"/>
  <c r="S22" i="4"/>
  <c r="T22" i="4"/>
  <c r="W22" i="4"/>
  <c r="X22" i="4"/>
  <c r="Y22" i="4"/>
  <c r="Z22" i="4"/>
  <c r="B22" i="4"/>
  <c r="C22" i="4"/>
  <c r="D22" i="4"/>
  <c r="E22" i="4"/>
  <c r="F22" i="4"/>
  <c r="G22" i="4"/>
  <c r="A22" i="4"/>
  <c r="U69" i="4" l="1"/>
  <c r="U67" i="4"/>
  <c r="U53" i="4"/>
  <c r="U57" i="4"/>
  <c r="U52" i="4"/>
  <c r="V56" i="4"/>
  <c r="U43" i="4"/>
  <c r="U37" i="4"/>
  <c r="U35" i="4"/>
  <c r="U31" i="4"/>
  <c r="U25" i="4"/>
  <c r="U22" i="4"/>
  <c r="V67" i="4"/>
  <c r="V59" i="4"/>
  <c r="V51" i="4"/>
  <c r="V43" i="4"/>
  <c r="V35" i="4"/>
  <c r="V65" i="4"/>
  <c r="V57" i="4"/>
  <c r="V49" i="4"/>
  <c r="V27" i="4"/>
  <c r="V22" i="4"/>
  <c r="V69" i="4"/>
  <c r="V61" i="4"/>
  <c r="V53" i="4"/>
  <c r="V71" i="4"/>
  <c r="V63" i="4"/>
  <c r="V55" i="4"/>
  <c r="V47" i="4"/>
  <c r="V39" i="4"/>
  <c r="V31" i="4"/>
  <c r="V23" i="4"/>
  <c r="V40" i="4"/>
  <c r="V32" i="4"/>
  <c r="V24" i="4"/>
  <c r="V70" i="4"/>
  <c r="V66" i="4"/>
  <c r="V62" i="4"/>
  <c r="V58" i="4"/>
  <c r="V54" i="4"/>
  <c r="V50" i="4"/>
  <c r="V46" i="4"/>
  <c r="V30" i="4"/>
  <c r="U44" i="4"/>
  <c r="U40" i="4"/>
  <c r="U58" i="4"/>
  <c r="U54" i="4"/>
  <c r="V44" i="4"/>
  <c r="V36" i="4"/>
  <c r="U30" i="4"/>
  <c r="V45" i="4"/>
  <c r="V41" i="4"/>
  <c r="V37" i="4"/>
  <c r="V33" i="4"/>
  <c r="V29" i="4"/>
  <c r="V25" i="4"/>
  <c r="U36" i="4"/>
  <c r="U32" i="4"/>
  <c r="U28" i="4"/>
  <c r="U24" i="4"/>
  <c r="U70" i="4"/>
  <c r="U66" i="4"/>
  <c r="U62" i="4"/>
  <c r="U50" i="4"/>
  <c r="U46" i="4"/>
  <c r="U38" i="4"/>
  <c r="V28" i="4"/>
  <c r="V68" i="4"/>
  <c r="V64" i="4"/>
  <c r="V60" i="4"/>
  <c r="V52" i="4"/>
  <c r="V48" i="4"/>
  <c r="V42" i="4"/>
  <c r="V34" i="4"/>
  <c r="V26" i="4"/>
  <c r="V38" i="4" l="1"/>
</calcChain>
</file>

<file path=xl/sharedStrings.xml><?xml version="1.0" encoding="utf-8"?>
<sst xmlns="http://schemas.openxmlformats.org/spreadsheetml/2006/main" count="515" uniqueCount="245">
  <si>
    <t xml:space="preserve">All Products Include 28mm Double Glazed Units Unless Otherwise Stated. </t>
  </si>
  <si>
    <t>PLUS VAT</t>
  </si>
  <si>
    <t>Frame cost</t>
  </si>
  <si>
    <t>Glass cost</t>
  </si>
  <si>
    <t>Total cost</t>
  </si>
  <si>
    <t>RETAIL PRICE (EXC VAT)</t>
  </si>
  <si>
    <r>
      <rPr>
        <b/>
        <sz val="14"/>
        <color rgb="FFFF0000"/>
        <rFont val="Calibri"/>
        <family val="2"/>
        <scheme val="minor"/>
      </rPr>
      <t>Product illustrations are as viewed externally (from the outside).</t>
    </r>
    <r>
      <rPr>
        <b/>
        <sz val="14"/>
        <color theme="1"/>
        <rFont val="Calibri"/>
        <family val="2"/>
        <scheme val="minor"/>
      </rPr>
      <t xml:space="preserve"> This Order Confirmation supercedes ALL previous quotes, e-mail correspondence and previous Order Confirmations for your project. Any necessary configuration or specification changes must be noted to avoid the specification of the delivered products potentially differing from your requirements.</t>
    </r>
  </si>
  <si>
    <t>Site photos  □</t>
  </si>
  <si>
    <t>Factory Order  □</t>
  </si>
  <si>
    <t>Elevation drawings  □</t>
  </si>
  <si>
    <t>TEL:</t>
  </si>
  <si>
    <t>Product illustrations are as viewed externally (from the outside). Any necessary configuration or specification changes may change the cost of the products. </t>
  </si>
  <si>
    <t>TOTAL FRAME COST</t>
  </si>
  <si>
    <t>INSTALLATION COST</t>
  </si>
  <si>
    <t>NOTES FROM SURVEY</t>
  </si>
  <si>
    <t xml:space="preserve">Signed ………………………………………………………………………………. </t>
  </si>
  <si>
    <t xml:space="preserve">Print Name………………………………………………………………………… </t>
  </si>
  <si>
    <t>Dated…………………………………………………………………………………</t>
  </si>
  <si>
    <t xml:space="preserve">Preparation for Installation </t>
  </si>
  <si>
    <t>(Please refer these notes to your builder if applicable)</t>
  </si>
  <si>
    <t>All products</t>
  </si>
  <si>
    <t>Sliding, bifold, French or entrance doors</t>
  </si>
  <si>
    <t xml:space="preserve">•     If bringing the external floor up to the level of the threshold of the doors, drainage must be considered   </t>
  </si>
  <si>
    <t xml:space="preserve">       in line with Building Control regulations.</t>
  </si>
  <si>
    <t>Provision of mechanical or powered lifting equipment</t>
  </si>
  <si>
    <t>Patio doors</t>
  </si>
  <si>
    <t xml:space="preserve">The next available date in the installations calendar will be offered, resulting in the possibility of a lengthy delay. </t>
  </si>
  <si>
    <t>some of which will be very heavy and will be manoeuvred by means of a wheeled trolley.</t>
  </si>
  <si>
    <t>·         Please ensure no plaster work is applied to internal reveals.  It would also be unwise to render externally.</t>
  </si>
  <si>
    <t>·         Brickwork below should be filled in, leaving no voids.</t>
  </si>
  <si>
    <t xml:space="preserve">·         If a specific colour of silicone is required, please advise in advance of fitting and this can be arranged and costs supplied. </t>
  </si>
  <si>
    <t>·         Trims are not supplied or fitted as standard and are charged as additional items.  Please advise if trims are required prior to installation.</t>
  </si>
  <si>
    <t>·         Please ensure working area is free from debris and clean to provide a safe working environment.</t>
  </si>
  <si>
    <t xml:space="preserve">·         Also ensure access route to area of work is level and free from debris to allow for safe access and safe manoeuvring of items, </t>
  </si>
  <si>
    <t>·         Brickwork and cavity below  to be filled in and level</t>
  </si>
  <si>
    <t xml:space="preserve">·         Floor against patio to allow for installation of straps, for fixing of frame threshold (no other fixing method can be used at this point).  </t>
  </si>
  <si>
    <t>·         Screed/floor level at strap positions, to be no higher than the bottom of threshold.</t>
  </si>
  <si>
    <t>·         Under floor heating pipes to be set back from inside edge of frame by a minimum of 200mm, to allow for installation of straps.</t>
  </si>
  <si>
    <r>
      <t xml:space="preserve">·        Unless specifically stated, Renka’s quoted costs </t>
    </r>
    <r>
      <rPr>
        <b/>
        <u/>
        <sz val="18"/>
        <color theme="1"/>
        <rFont val="Arial"/>
        <family val="2"/>
      </rPr>
      <t>do not</t>
    </r>
    <r>
      <rPr>
        <sz val="18"/>
        <color theme="1"/>
        <rFont val="Arial"/>
        <family val="2"/>
      </rPr>
      <t xml:space="preserve"> include any provision for mechanical or powered lifting equipment</t>
    </r>
  </si>
  <si>
    <t xml:space="preserve">·   Please be aware if site conditions are not as requested, it may be regarded as a failed installation and require a chargeable return to site to carry out the works.  </t>
  </si>
  <si>
    <t xml:space="preserve">          If a specific depth of reveal is required externally, please advise before fitting or frames will be installed at a standard dimension.</t>
  </si>
  <si>
    <t>INSTALLATION DATE:</t>
  </si>
  <si>
    <t>EXTRAS TO SITE? (Trims/cills/knock ons etc)</t>
  </si>
  <si>
    <t>DOCUMENTS TO INCLUDE</t>
  </si>
  <si>
    <t>GLASS SPEC - triple glazed?  Unusual size? Weight?</t>
  </si>
  <si>
    <t>Number of pieces of glass</t>
  </si>
  <si>
    <t>Other product option total cost</t>
  </si>
  <si>
    <t>PRODUCT DESCRIPTION</t>
  </si>
  <si>
    <t>Other product option RETAIL PRICE (EXC VAT)</t>
  </si>
  <si>
    <t>TRIPLE GLAZING ADDITIONAL COST (TO US)</t>
  </si>
  <si>
    <t>TRIPLE GLAZING ADDITIONAL COST (EXC VAT)</t>
  </si>
  <si>
    <t>ADDITIONAL LINE IN CASE TERMS OF BUSINESS ARE MORE COMPLICATED THAN 25/25/50 - ALLOWS FOR OCCASIONAL PAYMENTS ON COMPLETION</t>
  </si>
  <si>
    <t>ADDITIONAL LINE IN CASE TERMS OF BUSINESS ARE MORE COMPLICATED THAN 25/25/50</t>
  </si>
  <si>
    <t>Internal notes to reflect discussions during quote process</t>
  </si>
  <si>
    <t>TRICKLE VENT</t>
  </si>
  <si>
    <t>CILL</t>
  </si>
  <si>
    <t>HANDLE COLOUR</t>
  </si>
  <si>
    <t>HANDLE LOCATION</t>
  </si>
  <si>
    <t>IMAGE</t>
  </si>
  <si>
    <t>ORDER CONFIRMATION - PROJECT COST SUMMARY AND PAYMENT SCHEDULE</t>
  </si>
  <si>
    <t>TOTAL PROJECT COST / ORDER VALUE (EXC VAT)</t>
  </si>
  <si>
    <t>9TH JANUARY 2018</t>
  </si>
  <si>
    <t>FRAME NUMBER</t>
  </si>
  <si>
    <t>PHASE</t>
  </si>
  <si>
    <t>ELEVATION</t>
  </si>
  <si>
    <t>LOCATION</t>
  </si>
  <si>
    <t>CLIENT REF</t>
  </si>
  <si>
    <t>FLOOR</t>
  </si>
  <si>
    <t>WIDTH</t>
  </si>
  <si>
    <t>HEIGHT</t>
  </si>
  <si>
    <t>EXTERNAL COLOUR</t>
  </si>
  <si>
    <t>INTERNAL COLOUR</t>
  </si>
  <si>
    <t>CONFIGURATION</t>
  </si>
  <si>
    <t xml:space="preserve">LOCK COLOUR </t>
  </si>
  <si>
    <t>LOCK LOCATION</t>
  </si>
  <si>
    <t>TOTAL PROJECT COST / ORDER VALUE (INC VAT)</t>
  </si>
  <si>
    <t>25% DEPOSIT TO CONFIRM ORDER AND ALLOW PROFILE TO BE ORDERED</t>
  </si>
  <si>
    <t>25% SECOND DEPOSIT PAYABLE POST SURVEY TO ALLOW ALL PRODUCTS TO BE SCHEDULED FOR FULL MANUFACTURE</t>
  </si>
  <si>
    <t>BALANCE PAYABLE 7 DAYS PRIOR TO INSTALLATION DATE</t>
  </si>
  <si>
    <t>ORDER CONFIRMATION - CUSTOMER SIGNATURE / CONFIRMATION</t>
  </si>
  <si>
    <t>Product illustrations are as viewed externally (from the outside). This Order Confirmation supercedes ALL previous quotes, e-mail correspondence and previous Order Confirmations for your project. Any necessary configuration or specification changes must be noted to avoid the specification of the delivered products potentially differing from your requirements.</t>
  </si>
  <si>
    <t>* Please note, we will accept a photograph of the signed order confirmation, taken using a smart phone, sent to us as an email.</t>
  </si>
  <si>
    <t xml:space="preserve">* All prices include any paint and all door hardware. </t>
  </si>
  <si>
    <t>* Please note that images on the quotation do not resemble the actual look, size or proportions of the product - they are indicative of the configuration of the specified products</t>
  </si>
  <si>
    <t xml:space="preserve">* Lead times commence on receipt of signed order confirmation. </t>
  </si>
  <si>
    <t>* Please note that no allowance has been made for the provision of mechanical or powered lifting equipment, unless explicitly stated.</t>
  </si>
  <si>
    <t>* Please do not book any following trades until all products are installed as we cannot be held responsible for any costs incurred as lead times may vary.</t>
  </si>
  <si>
    <t>Quotation</t>
  </si>
  <si>
    <t>Order Confirmation</t>
  </si>
  <si>
    <t>Preparation for Installation (Please refer these notes to your builder if applicable)</t>
  </si>
  <si>
    <t>·         Please ensure that the access route to the area of work / installation is level and free from debris to allow for safe access and safe manoeuvring of items, some of which will be very heavy and will be manoeuvred by means of a wheeled trolley.</t>
  </si>
  <si>
    <t>·         Please be aware that if site conditions are not as requested, the installation may not be able to proceed as planned. In this case, it may be regarded as a failed installation and may require a chargeable return to site to carry out the works. In this case, the next available date in the Installations calendar will be offered, although the forward planning of installations means that this may result in a lengthy delay.</t>
  </si>
  <si>
    <t xml:space="preserve">          </t>
  </si>
  <si>
    <t xml:space="preserve">·         If bringing the external floor up to the level of the threshold of the doors, drainage must be considered in line with Building Control Regulations.  </t>
  </si>
  <si>
    <t>NOTES FROM SURVEY - FOR CUSTOMER / CUSTOMER'S REPRESENTATIVES</t>
  </si>
  <si>
    <r>
      <t xml:space="preserve">NOTES FROM SURVEY TO FITTERS.  </t>
    </r>
    <r>
      <rPr>
        <b/>
        <sz val="16"/>
        <color theme="1"/>
        <rFont val="Arial"/>
        <family val="2"/>
      </rPr>
      <t>Rip out? Positioning of frame? Gaps at head? Depth of reveal? Alterations req'd by builder? Specific fitting instructions?</t>
    </r>
  </si>
  <si>
    <t>FACTORY ORDER</t>
  </si>
  <si>
    <t>SITE PHOTOGRAPHS</t>
  </si>
  <si>
    <t>ANOTHER DOC</t>
  </si>
  <si>
    <t>SIGNED OFF PRE-INSTALL NOTES</t>
  </si>
  <si>
    <t>SIGNED OFF ORDER CONFIRMATION</t>
  </si>
  <si>
    <t>WORKS' INSTRUCTION - WORKING SHEET</t>
  </si>
  <si>
    <t>CODE</t>
  </si>
  <si>
    <t>DATE DUE</t>
  </si>
  <si>
    <t>SUPPLIER</t>
  </si>
  <si>
    <t>NUMBER OF PIECES OF GLASS</t>
  </si>
  <si>
    <t>TOTAL NUMBER OF PIECES OF GLASS</t>
  </si>
  <si>
    <t>YES / NO</t>
  </si>
  <si>
    <t>WORKS INSTRUCTION DOCUMENTS TO INCLUDE (DELETE YES / NO AS NECESSARY AND ADD ANY ADDITIONAL DOCUMENT DETAILS AS NECESSARY)</t>
  </si>
  <si>
    <t>CONTROL PANEL</t>
  </si>
  <si>
    <t>INTERNAL USE ONY</t>
  </si>
  <si>
    <t>WORKS INSTRUCTION  CONTROL PANEL</t>
  </si>
  <si>
    <t>* Please note that no allowance has been made for the provision of mechanical or powered lifting equipment, unless explicitly stated. Please be aware that as well as the size and weight of glazed units, site access will also affect when lifting equipment may be required, and this can only be finally confirmed at site survey. Please discuss with our surveyor at the site survey whether / what lifting equipment is necessary. It is the responsibility of the client to provide and pay for such lifting equipment.</t>
  </si>
  <si>
    <t>·         Please ensure no plaster work is applied to internal reveals ahead of our scheduled installation.  It would also be unwise to render externally. Also, do not apply any external finishes prior to installation.</t>
  </si>
  <si>
    <t>Sliding doors</t>
  </si>
  <si>
    <t xml:space="preserve">·        This Order Confirmation, and the resulting supply of products, is subject to our full terms and conditions - a copy of which can be viewed on our website - https://renka.co.uk/about-renka/terms. You can request a copy of these at any time.
</t>
  </si>
  <si>
    <t>TERMS AND CONDITIONS</t>
  </si>
  <si>
    <t>Shaped frames</t>
  </si>
  <si>
    <t>·         If your project involves shaped frames, to ensure a precise fit into the aperture(s), our surveyor may request that your contractor provides template(s) upon which we will base the production of the frame(s) and glazed unit(s). Whether this is necessary will generally be confirmed at site survey.</t>
  </si>
  <si>
    <t>Rooflights</t>
  </si>
  <si>
    <t xml:space="preserve">·         FLAT ROOFLIGHT KERB / UPSTAND MUST BE FULLY WEATHERED PRIOR TO OUR INSTALLATION VISIT. ANY OTHER ROOFLIGHT PRODUCTS MUST BE FLASHED (I.E LEAD INSTALLED BY OTHERS) AFTER INSTALLATION. </t>
  </si>
  <si>
    <t>YES / NO (DELETE AS NECESSARY)</t>
  </si>
  <si>
    <t>Insert detail of required amendments to RAMS</t>
  </si>
  <si>
    <t>ANY AMENDMENTS TO BE MADE TO STANDARD RAMS?</t>
  </si>
  <si>
    <t>TOTAL GLAZED FRAME COST</t>
  </si>
  <si>
    <t>* Lead times cannot commence until Renka are in receipt of a signed Order Confirmation and deposit payment. In most cases, a quoted lead time will start on confirmation of final "made sizes" and configuration – whether this be confirmed by a customer / their representatives, or following a Renka technical site survey. Manufacturing and glass ordering can only be scheduled once final "made sizes" are established.</t>
  </si>
  <si>
    <t>Project delays</t>
  </si>
  <si>
    <t>·         In the unlikely event that we are unable (due to the site / apertures not being ready for survey) to schedule manufacture of the products within 6 months of the date of issue of the first Order Confirmation document, Renka reserve the right to review the quoted costs in the light of any raw material or component cost increases that may have taken place in the interim.</t>
  </si>
  <si>
    <t>NO</t>
  </si>
  <si>
    <t>YES</t>
  </si>
  <si>
    <t>Cill</t>
  </si>
  <si>
    <t>150mm</t>
  </si>
  <si>
    <t>Aluminium 30mm * 40mm angle</t>
  </si>
  <si>
    <t>No Cill</t>
  </si>
  <si>
    <t>Handle location</t>
  </si>
  <si>
    <t>Internal only</t>
  </si>
  <si>
    <t>Internal and external</t>
  </si>
  <si>
    <t>NON STANDARD GLASS SPECIFICATIONS</t>
  </si>
  <si>
    <t>Lock location</t>
  </si>
  <si>
    <t>Internal and external - part of the frame</t>
  </si>
  <si>
    <t>N/A</t>
  </si>
  <si>
    <t>·         Please be aware that where installing products above ground floor level, safe access / working platforms must be provided. It is the responsibility of the client or their main contractor to provide this. The specific requirements for safe working platforms should be discussed with Renka. Unless otherwise advised by Renka, the installation of rooflights will require scaffolding.</t>
  </si>
  <si>
    <t>Low threshold</t>
  </si>
  <si>
    <t>* Subject to receipt of the deposit payment, the costs detailed within this Order Confirmation remain valid as long as the site survey takes place within 6 months of the date of the original Order Confirmation. Projects where we are unable to survey the openings within 6 months (due to customer delays on site) may be subject to cost revisions.</t>
  </si>
  <si>
    <t>FRAME WIDTH</t>
  </si>
  <si>
    <t>FRAME HEIGHT</t>
  </si>
  <si>
    <t>165mm</t>
  </si>
  <si>
    <t>180mm</t>
  </si>
  <si>
    <t>250mm</t>
  </si>
  <si>
    <t>* Please note that images on the quotation may not resemble the actual look, size or proportions of the product - they are simply indicative of the configuration of the specified products</t>
  </si>
  <si>
    <t>·         Brickwork below an opening should be filled in, leaving no voids.</t>
  </si>
  <si>
    <t>·         Please ensure that the working area is clean and free from debris to provide a safe working environment.</t>
  </si>
  <si>
    <t>·         Brickwork and the cavity below the opening for our sliding doors needs to be filled in and level</t>
  </si>
  <si>
    <t xml:space="preserve">·         The floor against the internal face of the patio doors should allow for sufficient space for the installation of floor straps for fixing of the frame threshold (no other fixing method can be used at this point).  </t>
  </si>
  <si>
    <t>·         Screed/floor level at strap positions should be no higher than the bottom of the threshold.</t>
  </si>
  <si>
    <t>·         Under floor heating pipes should be set back from the inside edge of frame by a minimum of 150mm, to allow for installation of straps.</t>
  </si>
  <si>
    <t>·         If a specific depth of reveal is required externally, please advise before fitting commences, or frames will be installed at a standard dimension.</t>
  </si>
  <si>
    <t>MAN DAYS FOR INSTALLATION</t>
  </si>
  <si>
    <t>TOTAL MAN DAYS</t>
  </si>
  <si>
    <t>COST / MAN DAY</t>
  </si>
  <si>
    <t>TOTAL CALCULATED INSTALL COST</t>
  </si>
  <si>
    <t>SURVEY COST</t>
  </si>
  <si>
    <t>PETROL COST</t>
  </si>
  <si>
    <t>ACCOMMODATION / SUBSISTENCE COST</t>
  </si>
  <si>
    <t>Other product option total cost (to us)</t>
  </si>
  <si>
    <t xml:space="preserve">·         If a specific colour of silicone is required, please advise in advance of fitting. This can be arranged and costs supplied. </t>
  </si>
  <si>
    <t>·          It is the responsibility of the client to advise Renka should trickle vents / window restrictors be required on any products. Trickle vents may require the provision of a frame extension to house them in some products.</t>
  </si>
  <si>
    <t>SUPPLY ONLY - DELIVERY COST - £295.00 + VAT (DELIVERY TO KERBSIDE)</t>
  </si>
  <si>
    <t>Name</t>
  </si>
  <si>
    <t>Address 1</t>
  </si>
  <si>
    <t>Address 2</t>
  </si>
  <si>
    <t>Address 3</t>
  </si>
  <si>
    <t>Postcode</t>
  </si>
  <si>
    <r>
      <t xml:space="preserve">INSTALLATION COST (INCLUDING TRANSPORT OF PRODUCTS TO SITE / TECHNICAL SITE SURVEY / PROVISION OF REQUIRED POST SURVEY TECHNICAL DRAWINGS) £.00 + VAT. </t>
    </r>
    <r>
      <rPr>
        <sz val="24"/>
        <color theme="1"/>
        <rFont val="Arial"/>
        <family val="2"/>
      </rPr>
      <t>COSTS ASSUME GOOD ACCESS TO POINT OF INSTALLATION. NO ALLOWANCE HAS BEEN MADE FOR THE USE OF MECHANICAL OR POWERED LIFTING EQUIPMENT OR SCAFFOLDING. SHOULD ANY OF THIS BE REQUIRED, THIS WILL BE AT THE CLIENT'S COST. PLEASE BE AWARE - WHERE INSTALLING PRODUCTS ABOVE GROUND FLOOR LEVEL (INCLUDING ALL ROOFLIGHTS), SAFE ACCESS / WORKING PLATFORMS MUST BE PROVIDED BY THE CLIENT OR THEIR CONTRACTOR. THE SPECIFIC REQUIREMENTS FOR SAFE WORKING PLATFORMS SHOULD BE DISCUSSED WITH RENKA.</t>
    </r>
  </si>
  <si>
    <t>·        Unless specifically stated, Renka’s quoted costs do not include any provision for mechanical or powered lifting equipment. Please be aware that as well as the size and weight of glazed units, site access will also affect when lifting equipment may be required, and this can only be finally confirmed at site survey. Please discuss with our surveyor at the site survey whether / what lifting equipment is necessary. It is the responsibility of the client to provide and pay for such lifting equipment. Unless otherwise advised by Renka, the installation of rooflights will require scaffolding / safe working platforms.</t>
  </si>
  <si>
    <t>ALL PRODUCTS INCLUDE TOUGHENED CLEAR DOUBLE GLAZED UNITS UNLESS OTHERWISE STATED</t>
  </si>
  <si>
    <t>PRODUCT ILLUSTRATIONS ARE AS VIEWED EXTERNALLY (FROM THE OUTSIDE). ANY CONFIGURATION OR SPECIFICATION CHANGES MAY AFFECT THE COST OF THE PRODUCTS</t>
  </si>
  <si>
    <t>Internal only - suited locks</t>
  </si>
  <si>
    <t>Internal and external - suited locks</t>
  </si>
  <si>
    <t>FRAME COLOUR</t>
  </si>
  <si>
    <t>TRICKLE VENTS - WITHIN 38MM FRAME EXTENSION</t>
  </si>
  <si>
    <t>FRAME NO.</t>
  </si>
  <si>
    <t>QUOTATION</t>
  </si>
  <si>
    <t>LOCATION / REF</t>
  </si>
  <si>
    <t>TOTAL PROJECT COST (INC INSTALLATION)</t>
  </si>
  <si>
    <r>
      <t xml:space="preserve">QUOTED INSTALLATION COST  INCLUDES TRANSPORT OF PRODUCTS TO SITE / TECHNICAL SITE SURVEY / PROVISION OF REQUIRED POST SURVEY TECHNICAL DRAWINGS. </t>
    </r>
    <r>
      <rPr>
        <sz val="30"/>
        <color theme="1"/>
        <rFont val="Arial"/>
        <family val="2"/>
      </rPr>
      <t>COSTS ASSUME GOOD ACCESS TO POINT OF INSTALLATION. NO ALLOWANCE HAS BEEN MADE FOR THE USE OF MECHANICAL OR POWERED LIFTING EQUIPMENT OR SCAFFOLDING. SHOULD ANY OF THIS BE REQUIRED, THIS WILL BE AT THE CLIENT'S COST. PLEASE BE AWARE - WHERE INSTALLING PRODUCTS ABOVE GROUND FLOOR LEVEL (INCLUDING ALL ROOFLIGHTS), SAFE ACCESS / WORKING PLATFORMS MUST BE PROVIDED BY THE CLIENT OR THEIR CONTRACTOR. THE SPECIFIC REQUIREMENTS FOR SAFE WORKING PLATFORMS SHOULD BE DISCUSSED WITH RENKA.</t>
    </r>
  </si>
  <si>
    <t>ASTRAGAL BAR SECTIONS</t>
  </si>
  <si>
    <t>YES - 1</t>
  </si>
  <si>
    <t>YES - 2</t>
  </si>
  <si>
    <t>YES - 3</t>
  </si>
  <si>
    <t>YES - 4</t>
  </si>
  <si>
    <t>ORDER CONFIRMATION</t>
  </si>
  <si>
    <r>
      <t xml:space="preserve">* Please note, we will accept a photograph of </t>
    </r>
    <r>
      <rPr>
        <b/>
        <sz val="24"/>
        <color rgb="FFFF0000"/>
        <rFont val="Arial"/>
        <family val="2"/>
      </rPr>
      <t xml:space="preserve">ALL PAGES OF </t>
    </r>
    <r>
      <rPr>
        <b/>
        <sz val="24"/>
        <color rgb="FF000000"/>
        <rFont val="Arial"/>
        <family val="2"/>
      </rPr>
      <t>the signed order confirmation, taken using a smart phone, sent to us as an email.</t>
    </r>
  </si>
  <si>
    <r>
      <t xml:space="preserve">·         All making good works are the responsibility of the Client / their contractor. Renka's only responsibility is to supply and fit the goods ordered by the customer into fully prepared openings. </t>
    </r>
    <r>
      <rPr>
        <b/>
        <sz val="24"/>
        <color rgb="FFFF0000"/>
        <rFont val="Arial"/>
        <family val="2"/>
      </rPr>
      <t>Renka do not supply aluminium cladding trims / profiles, fascias, soffits etc, please consult your contractor / architect should you have a requirement.</t>
    </r>
    <r>
      <rPr>
        <b/>
        <sz val="24"/>
        <color theme="1"/>
        <rFont val="Arial"/>
        <family val="2"/>
      </rPr>
      <t xml:space="preserve">  If there is a specific requirements that relates to our products, please contact us for a quotation.</t>
    </r>
  </si>
  <si>
    <r>
      <t xml:space="preserve">NOTES FROM SURVEY - FOR CUSTOMER / CUSTOMER'S REPRESENTATIVES.     IN SIGNING THE POST SURVEY ORDER CONFIRMATION, YOU ARE AGREEING TO </t>
    </r>
    <r>
      <rPr>
        <b/>
        <u/>
        <sz val="26"/>
        <color rgb="FFFF0000"/>
        <rFont val="Arial"/>
        <family val="2"/>
      </rPr>
      <t>BOTH</t>
    </r>
    <r>
      <rPr>
        <b/>
        <sz val="26"/>
        <color rgb="FFFF0000"/>
        <rFont val="Arial"/>
        <family val="2"/>
      </rPr>
      <t xml:space="preserve"> THE CONTENTS OF THIS DOCUMENT AND ANY DETAILS SUMMARISED IN THE "SITE SURVEY - SUMMARY OF AGREED AND REQUIRED ACTIONS" (IF ONE IS SENT OUT ATTACHED TO THIS POST SURVEY ORDER CONFIRMATION).</t>
    </r>
  </si>
  <si>
    <t>HANDLE / LOCK COLOUR &amp; LOCATION</t>
  </si>
  <si>
    <t>ADDITIONAL ELEMENTS / COSTS TO BE FINALISED POST SURVEY</t>
  </si>
  <si>
    <t>Allan Wilsher - Polly</t>
  </si>
  <si>
    <t>Project: Richard and Sarah Monk</t>
  </si>
  <si>
    <t>High View</t>
  </si>
  <si>
    <t>Newport</t>
  </si>
  <si>
    <t>WG02 STUDY</t>
  </si>
  <si>
    <t>WG01 HALL</t>
  </si>
  <si>
    <t>WG08 KITCHEN</t>
  </si>
  <si>
    <t>W101 BED 3</t>
  </si>
  <si>
    <t>W107 BED 4</t>
  </si>
  <si>
    <t>WG07 KITCHEN</t>
  </si>
  <si>
    <t>WG06 DINING ROOM</t>
  </si>
  <si>
    <t>W105 ENSUITE</t>
  </si>
  <si>
    <t>EDG04 DINING ROOM</t>
  </si>
  <si>
    <t>EDG03 LIVING ROOM</t>
  </si>
  <si>
    <t>WG04 LIVING ROOM</t>
  </si>
  <si>
    <t>W106 BATHROOM</t>
  </si>
  <si>
    <t>W104 BED 1</t>
  </si>
  <si>
    <t>W103 BED 1</t>
  </si>
  <si>
    <t>WG05 DINING ROOM</t>
  </si>
  <si>
    <t>WG03 SHOWER ROOM</t>
  </si>
  <si>
    <t>W102 BED 2</t>
  </si>
  <si>
    <t>RL01 DINING ROOM</t>
  </si>
  <si>
    <t>Slim casement window</t>
  </si>
  <si>
    <t>Fixed glazed window</t>
  </si>
  <si>
    <t>Classic fold Bifold doors</t>
  </si>
  <si>
    <t>Classic French doors</t>
  </si>
  <si>
    <t>Aspekt Flat rooflight</t>
  </si>
  <si>
    <t>Fixed flat rooflight in 2 sections due to size, with the split supported by a structural glass fin. Rooflight to sit at a minimum 5 degree pitch for drainage. Dimensions shown are 'external' (to the external face of the kerb that the rooflight sits on).</t>
  </si>
  <si>
    <t>Flying mullion for means of escape</t>
  </si>
  <si>
    <t>8000mm2</t>
  </si>
  <si>
    <t>4000mm2</t>
  </si>
  <si>
    <t>Single glazed pane</t>
  </si>
  <si>
    <t>White internal only</t>
  </si>
  <si>
    <t>TRADE DISCOUNT</t>
  </si>
  <si>
    <t xml:space="preserve">3 panels all folding left - outward opening - Right hand panel is an independent traffic door </t>
  </si>
  <si>
    <t>French doors outward opening with vertical and  horizontal heritage bars</t>
  </si>
  <si>
    <t>Product illustrations are as viewed externally (from the outside). This Order Confirmation supersedes ALL previous quotes, e-mail correspondence and previous Order Confirmations for your project. Any necessary configuration or specification changes must be noted to avoid the specification of the delivered products potentially differing from your requirements.</t>
  </si>
  <si>
    <r>
      <t xml:space="preserve">NOTES FROM SURVEY TO FITTERS.  </t>
    </r>
    <r>
      <rPr>
        <b/>
        <sz val="12"/>
        <color theme="1"/>
        <rFont val="Arial"/>
        <family val="2"/>
      </rPr>
      <t>Rip out? Positioning of frame? Gaps at head? Depth of reveal? Alterations red by builder? Specific fitting instructions?</t>
    </r>
  </si>
  <si>
    <t>EXTRAS TO SITE? (Trims/cills/knock Ons etc)</t>
  </si>
  <si>
    <t>White RAL 9010 internal / Pebble Grey RAL7032 external</t>
  </si>
  <si>
    <t>White RAL 9010 internal / Anthracite grey RAL 7016 external</t>
  </si>
  <si>
    <t>Pebble Grey RAL7032 internal and external</t>
  </si>
  <si>
    <t xml:space="preserve">3 panels all side hinged </t>
  </si>
  <si>
    <t>Single pane side hinged</t>
  </si>
  <si>
    <t xml:space="preserve">2 panes side hinged </t>
  </si>
  <si>
    <t xml:space="preserve">Single pane side hinged </t>
  </si>
  <si>
    <t>Quotation V3</t>
  </si>
  <si>
    <t>RAL 7032 INTERNAL AND EXTERNAL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</si>
</sst>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quot;£&quot;#,##0.00"/>
    <numFmt numFmtId="165" formatCode="#,##0.00;[Red]#,##0.00"/>
    <numFmt numFmtId="166" formatCode="&quot;£&quot;#,##0.00;[Red]&quot;£&quot;#,##0.00"/>
    <numFmt numFmtId="167" formatCode="[$-F800]dddd\,\ mmmm\ dd\,\ yyyy"/>
  </numFmts>
  <fonts count="77" x14ac:knownFonts="1">
    <font>
      <sz val="11"/>
      <color theme="1"/>
      <name val="Calibri"/>
      <family val="2"/>
      <scheme val="minor"/>
    </font>
    <font>
      <b/>
      <sz val="11"/>
      <color theme="1"/>
      <name val="Calibri"/>
      <family val="2"/>
      <scheme val="minor"/>
    </font>
    <font>
      <b/>
      <sz val="14"/>
      <color theme="1"/>
      <name val="Calibri"/>
      <family val="2"/>
      <scheme val="minor"/>
    </font>
    <font>
      <sz val="14"/>
      <color theme="1"/>
      <name val="Calibri"/>
      <family val="2"/>
      <scheme val="minor"/>
    </font>
    <font>
      <b/>
      <sz val="18"/>
      <color theme="1"/>
      <name val="Calibri"/>
      <family val="2"/>
      <scheme val="minor"/>
    </font>
    <font>
      <sz val="18"/>
      <color theme="1"/>
      <name val="Calibri"/>
      <family val="2"/>
      <scheme val="minor"/>
    </font>
    <font>
      <b/>
      <sz val="20"/>
      <color theme="1"/>
      <name val="Calibri"/>
      <family val="2"/>
      <scheme val="minor"/>
    </font>
    <font>
      <b/>
      <sz val="16"/>
      <color theme="1"/>
      <name val="Calibri"/>
      <family val="2"/>
      <scheme val="minor"/>
    </font>
    <font>
      <sz val="16"/>
      <color theme="1"/>
      <name val="Calibri"/>
      <family val="2"/>
      <scheme val="minor"/>
    </font>
    <font>
      <b/>
      <sz val="14"/>
      <color rgb="FFFF0000"/>
      <name val="Calibri"/>
      <family val="2"/>
      <scheme val="minor"/>
    </font>
    <font>
      <b/>
      <sz val="12"/>
      <color theme="1"/>
      <name val="Arial"/>
      <family val="2"/>
    </font>
    <font>
      <b/>
      <sz val="18"/>
      <color theme="1"/>
      <name val="Arial"/>
      <family val="2"/>
    </font>
    <font>
      <sz val="18"/>
      <color theme="1"/>
      <name val="Arial"/>
      <family val="2"/>
    </font>
    <font>
      <sz val="11"/>
      <color theme="1"/>
      <name val="Arial"/>
      <family val="2"/>
    </font>
    <font>
      <b/>
      <sz val="18"/>
      <color rgb="FF000000"/>
      <name val="Arial"/>
      <family val="2"/>
    </font>
    <font>
      <sz val="22"/>
      <color theme="1"/>
      <name val="Calibri"/>
      <family val="2"/>
      <scheme val="minor"/>
    </font>
    <font>
      <b/>
      <sz val="22"/>
      <color rgb="FF000000"/>
      <name val="Calibri"/>
      <family val="2"/>
      <scheme val="minor"/>
    </font>
    <font>
      <sz val="21"/>
      <color theme="1"/>
      <name val="Calibri"/>
      <family val="2"/>
      <scheme val="minor"/>
    </font>
    <font>
      <b/>
      <sz val="21"/>
      <color rgb="FF000000"/>
      <name val="Calibri"/>
      <family val="2"/>
      <scheme val="minor"/>
    </font>
    <font>
      <b/>
      <u/>
      <sz val="18"/>
      <color theme="1"/>
      <name val="Arial"/>
      <family val="2"/>
    </font>
    <font>
      <sz val="17"/>
      <color theme="1"/>
      <name val="Arial"/>
      <family val="2"/>
    </font>
    <font>
      <b/>
      <sz val="24"/>
      <color theme="1"/>
      <name val="Calibri"/>
      <family val="2"/>
      <scheme val="minor"/>
    </font>
    <font>
      <sz val="20"/>
      <color theme="1"/>
      <name val="Calibri"/>
      <family val="2"/>
      <scheme val="minor"/>
    </font>
    <font>
      <b/>
      <sz val="20"/>
      <color rgb="FFFF0000"/>
      <name val="Calibri"/>
      <family val="2"/>
      <scheme val="minor"/>
    </font>
    <font>
      <sz val="20"/>
      <color rgb="FFFF0000"/>
      <name val="Calibri"/>
      <family val="2"/>
      <scheme val="minor"/>
    </font>
    <font>
      <sz val="11"/>
      <color rgb="FFFF0000"/>
      <name val="Calibri"/>
      <family val="2"/>
      <scheme val="minor"/>
    </font>
    <font>
      <b/>
      <sz val="24"/>
      <color rgb="FFFF0000"/>
      <name val="Calibri"/>
      <family val="2"/>
      <scheme val="minor"/>
    </font>
    <font>
      <sz val="24"/>
      <color rgb="FFFF0000"/>
      <name val="Calibri"/>
      <family val="2"/>
      <scheme val="minor"/>
    </font>
    <font>
      <sz val="24"/>
      <color theme="1"/>
      <name val="Calibri"/>
      <family val="2"/>
      <scheme val="minor"/>
    </font>
    <font>
      <b/>
      <sz val="36"/>
      <color rgb="FFFF0000"/>
      <name val="Calibri"/>
      <family val="2"/>
      <scheme val="minor"/>
    </font>
    <font>
      <sz val="36"/>
      <color rgb="FFFF0000"/>
      <name val="Calibri"/>
      <family val="2"/>
      <scheme val="minor"/>
    </font>
    <font>
      <sz val="36"/>
      <color theme="1"/>
      <name val="Calibri"/>
      <family val="2"/>
      <scheme val="minor"/>
    </font>
    <font>
      <b/>
      <sz val="16"/>
      <color theme="1"/>
      <name val="Arial"/>
      <family val="2"/>
    </font>
    <font>
      <b/>
      <sz val="22"/>
      <color theme="1"/>
      <name val="Calibri"/>
      <family val="2"/>
      <scheme val="minor"/>
    </font>
    <font>
      <sz val="16"/>
      <color rgb="FFFF0000"/>
      <name val="Calibri"/>
      <family val="2"/>
    </font>
    <font>
      <sz val="16"/>
      <color rgb="FF000000"/>
      <name val="Calibri"/>
      <family val="2"/>
    </font>
    <font>
      <b/>
      <sz val="18"/>
      <color rgb="FFFF0000"/>
      <name val="Arial"/>
      <family val="2"/>
    </font>
    <font>
      <b/>
      <u/>
      <sz val="18"/>
      <color rgb="FFFF0000"/>
      <name val="Arial"/>
      <family val="2"/>
    </font>
    <font>
      <sz val="16"/>
      <color rgb="FF0066CC"/>
      <name val="Calibri"/>
      <family val="2"/>
    </font>
    <font>
      <sz val="16"/>
      <color rgb="FF993366"/>
      <name val="Calibri"/>
      <family val="2"/>
    </font>
    <font>
      <sz val="16"/>
      <color rgb="FF800080"/>
      <name val="Calibri"/>
      <family val="2"/>
    </font>
    <font>
      <u/>
      <sz val="11"/>
      <color rgb="FFFF0000"/>
      <name val="Calibri"/>
      <family val="2"/>
      <scheme val="minor"/>
    </font>
    <font>
      <b/>
      <sz val="11"/>
      <color rgb="FFFF0000"/>
      <name val="Calibri"/>
      <family val="2"/>
      <scheme val="minor"/>
    </font>
    <font>
      <b/>
      <sz val="24"/>
      <color rgb="FFFF0000"/>
      <name val="Arial"/>
      <family val="2"/>
    </font>
    <font>
      <b/>
      <sz val="26"/>
      <color rgb="FFFF0000"/>
      <name val="Arial"/>
      <family val="2"/>
    </font>
    <font>
      <b/>
      <sz val="26"/>
      <color rgb="FFFF0000"/>
      <name val="Calibri"/>
      <family val="2"/>
      <scheme val="minor"/>
    </font>
    <font>
      <b/>
      <sz val="12"/>
      <color rgb="FFFF0000"/>
      <name val="Arial"/>
      <family val="2"/>
    </font>
    <font>
      <sz val="12"/>
      <color theme="1"/>
      <name val="Calibri"/>
      <family val="2"/>
      <scheme val="minor"/>
    </font>
    <font>
      <b/>
      <sz val="24"/>
      <color rgb="FF000000"/>
      <name val="Arial"/>
      <family val="2"/>
    </font>
    <font>
      <sz val="24"/>
      <color theme="1"/>
      <name val="Arial"/>
      <family val="2"/>
    </font>
    <font>
      <b/>
      <sz val="24"/>
      <color theme="1"/>
      <name val="Arial"/>
      <family val="2"/>
    </font>
    <font>
      <b/>
      <sz val="26"/>
      <color theme="1"/>
      <name val="Arial"/>
      <family val="2"/>
    </font>
    <font>
      <b/>
      <sz val="28"/>
      <color theme="1"/>
      <name val="Arial"/>
      <family val="2"/>
    </font>
    <font>
      <sz val="28"/>
      <color theme="1"/>
      <name val="Arial"/>
      <family val="2"/>
    </font>
    <font>
      <b/>
      <sz val="36"/>
      <color theme="1"/>
      <name val="Arial"/>
      <family val="2"/>
    </font>
    <font>
      <sz val="36"/>
      <color theme="1"/>
      <name val="Arial"/>
      <family val="2"/>
    </font>
    <font>
      <b/>
      <sz val="30"/>
      <color rgb="FF000000"/>
      <name val="Arial"/>
      <family val="2"/>
    </font>
    <font>
      <b/>
      <sz val="30"/>
      <color theme="1"/>
      <name val="Arial"/>
      <family val="2"/>
    </font>
    <font>
      <b/>
      <sz val="30"/>
      <color theme="1"/>
      <name val="Calibri"/>
      <family val="2"/>
      <scheme val="minor"/>
    </font>
    <font>
      <sz val="30"/>
      <color theme="1"/>
      <name val="Arial"/>
      <family val="2"/>
    </font>
    <font>
      <sz val="30"/>
      <color rgb="FFFF0000"/>
      <name val="Arial"/>
      <family val="2"/>
    </font>
    <font>
      <b/>
      <sz val="30"/>
      <color rgb="FFFF0000"/>
      <name val="Arial"/>
      <family val="2"/>
    </font>
    <font>
      <b/>
      <sz val="120"/>
      <color theme="0"/>
      <name val="Calibri"/>
      <family val="2"/>
      <scheme val="minor"/>
    </font>
    <font>
      <sz val="120"/>
      <color theme="1"/>
      <name val="Calibri"/>
      <family val="2"/>
      <scheme val="minor"/>
    </font>
    <font>
      <b/>
      <sz val="36"/>
      <color theme="0"/>
      <name val="Calibri"/>
      <family val="2"/>
      <scheme val="minor"/>
    </font>
    <font>
      <b/>
      <sz val="22"/>
      <color theme="0"/>
      <name val="Calibri"/>
      <family val="2"/>
      <scheme val="minor"/>
    </font>
    <font>
      <sz val="28"/>
      <color rgb="FFFF0000"/>
      <name val="Arial"/>
      <family val="2"/>
    </font>
    <font>
      <b/>
      <sz val="36"/>
      <color theme="1"/>
      <name val="Calibri"/>
      <family val="2"/>
      <scheme val="minor"/>
    </font>
    <font>
      <b/>
      <sz val="11"/>
      <color theme="0"/>
      <name val="Calibri"/>
      <family val="2"/>
      <scheme val="minor"/>
    </font>
    <font>
      <sz val="30"/>
      <color theme="1"/>
      <name val="Calibri"/>
      <family val="2"/>
      <scheme val="minor"/>
    </font>
    <font>
      <b/>
      <u/>
      <sz val="24"/>
      <color theme="1"/>
      <name val="Arial"/>
      <family val="2"/>
    </font>
    <font>
      <u/>
      <sz val="24"/>
      <color theme="1"/>
      <name val="Calibri"/>
      <family val="2"/>
      <scheme val="minor"/>
    </font>
    <font>
      <b/>
      <u/>
      <sz val="26"/>
      <color rgb="FFFF0000"/>
      <name val="Arial"/>
      <family val="2"/>
    </font>
    <font>
      <sz val="26"/>
      <color rgb="FFFF0000"/>
      <name val="Calibri"/>
      <family val="2"/>
      <scheme val="minor"/>
    </font>
    <font>
      <sz val="26"/>
      <color theme="1"/>
      <name val="Calibri"/>
      <family val="2"/>
      <scheme val="minor"/>
    </font>
    <font>
      <b/>
      <sz val="36"/>
      <name val="Arial"/>
      <family val="2"/>
    </font>
    <font>
      <sz val="36"/>
      <name val="Arial"/>
      <family val="2"/>
    </font>
  </fonts>
  <fills count="15">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0" tint="-0.34998626667073579"/>
        <bgColor indexed="64"/>
      </patternFill>
    </fill>
    <fill>
      <patternFill patternType="solid">
        <fgColor theme="0" tint="-0.499984740745262"/>
        <bgColor indexed="64"/>
      </patternFill>
    </fill>
    <fill>
      <patternFill patternType="solid">
        <fgColor theme="2" tint="-9.9978637043366805E-2"/>
        <bgColor indexed="64"/>
      </patternFill>
    </fill>
    <fill>
      <patternFill patternType="solid">
        <fgColor rgb="FF00B0F0"/>
        <bgColor indexed="64"/>
      </patternFill>
    </fill>
    <fill>
      <patternFill patternType="solid">
        <fgColor theme="0" tint="-0.249977111117893"/>
        <bgColor indexed="64"/>
      </patternFill>
    </fill>
    <fill>
      <patternFill patternType="solid">
        <fgColor rgb="FFFFFF00"/>
        <bgColor indexed="64"/>
      </patternFill>
    </fill>
    <fill>
      <patternFill patternType="solid">
        <fgColor rgb="FFFFC000"/>
        <bgColor indexed="64"/>
      </patternFill>
    </fill>
    <fill>
      <patternFill patternType="solid">
        <fgColor theme="3" tint="0.79998168889431442"/>
        <bgColor indexed="64"/>
      </patternFill>
    </fill>
    <fill>
      <patternFill patternType="solid">
        <fgColor theme="3" tint="0.39997558519241921"/>
        <bgColor indexed="64"/>
      </patternFill>
    </fill>
    <fill>
      <patternFill patternType="solid">
        <fgColor theme="2" tint="-0.249977111117893"/>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s>
  <cellStyleXfs count="1">
    <xf numFmtId="0" fontId="0" fillId="0" borderId="0"/>
  </cellStyleXfs>
  <cellXfs count="494">
    <xf numFmtId="0" fontId="0" fillId="0" borderId="0" xfId="0"/>
    <xf numFmtId="0" fontId="0" fillId="0" borderId="0" xfId="0" applyAlignment="1">
      <alignment vertical="center"/>
    </xf>
    <xf numFmtId="0" fontId="0" fillId="0" borderId="0" xfId="0" applyAlignment="1">
      <alignment horizontal="center" vertical="center" wrapText="1"/>
    </xf>
    <xf numFmtId="0" fontId="0" fillId="0" borderId="0" xfId="0" applyAlignment="1">
      <alignment horizontal="center" vertical="center"/>
    </xf>
    <xf numFmtId="0" fontId="1" fillId="0" borderId="0" xfId="0" applyFont="1" applyAlignment="1">
      <alignment horizontal="center" vertical="center"/>
    </xf>
    <xf numFmtId="0" fontId="3" fillId="0" borderId="0" xfId="0" applyFont="1" applyAlignment="1">
      <alignment horizontal="center" vertical="center" wrapText="1"/>
    </xf>
    <xf numFmtId="0" fontId="5" fillId="0" borderId="0" xfId="0" applyFont="1" applyAlignment="1">
      <alignment horizontal="center" vertical="center" wrapText="1"/>
    </xf>
    <xf numFmtId="0" fontId="4" fillId="0" borderId="0" xfId="0" applyFont="1" applyAlignment="1">
      <alignment horizontal="center" vertical="center"/>
    </xf>
    <xf numFmtId="0" fontId="5" fillId="0" borderId="0" xfId="0" applyFont="1" applyAlignment="1">
      <alignment horizontal="center" vertical="center"/>
    </xf>
    <xf numFmtId="0" fontId="1" fillId="2" borderId="2" xfId="0" applyFont="1" applyFill="1" applyBorder="1" applyAlignment="1">
      <alignment horizontal="center" vertical="center" wrapText="1"/>
    </xf>
    <xf numFmtId="0" fontId="0" fillId="0" borderId="7" xfId="0" applyBorder="1" applyAlignment="1">
      <alignment horizontal="center" vertical="center" wrapText="1"/>
    </xf>
    <xf numFmtId="0" fontId="0" fillId="0" borderId="12" xfId="0" applyBorder="1" applyAlignment="1">
      <alignment horizontal="center" vertical="center" wrapText="1"/>
    </xf>
    <xf numFmtId="0" fontId="0" fillId="5" borderId="0" xfId="0" applyFill="1" applyAlignment="1">
      <alignment vertical="center"/>
    </xf>
    <xf numFmtId="0" fontId="2" fillId="2" borderId="0" xfId="0" applyFont="1" applyFill="1" applyAlignment="1">
      <alignment horizontal="center" vertical="center" wrapText="1"/>
    </xf>
    <xf numFmtId="0" fontId="2" fillId="2" borderId="0" xfId="0" applyFont="1" applyFill="1" applyAlignment="1">
      <alignment horizontal="center"/>
    </xf>
    <xf numFmtId="0" fontId="0" fillId="2" borderId="0" xfId="0" applyFill="1" applyAlignment="1">
      <alignment vertical="center"/>
    </xf>
    <xf numFmtId="0" fontId="0" fillId="0" borderId="8" xfId="0" applyBorder="1" applyAlignment="1">
      <alignment horizontal="center" vertical="center"/>
    </xf>
    <xf numFmtId="0" fontId="0" fillId="0" borderId="10" xfId="0" applyBorder="1" applyAlignment="1">
      <alignment horizontal="center" vertical="center"/>
    </xf>
    <xf numFmtId="0" fontId="3" fillId="0" borderId="12" xfId="0" applyFont="1" applyBorder="1" applyAlignment="1">
      <alignment horizontal="center" vertical="center" wrapText="1"/>
    </xf>
    <xf numFmtId="0" fontId="0" fillId="0" borderId="13" xfId="0" applyBorder="1" applyAlignment="1">
      <alignment horizontal="center" vertical="center"/>
    </xf>
    <xf numFmtId="0" fontId="11" fillId="7" borderId="9" xfId="0" applyFont="1" applyFill="1" applyBorder="1" applyAlignment="1">
      <alignment vertical="center"/>
    </xf>
    <xf numFmtId="0" fontId="12" fillId="7" borderId="7" xfId="0" applyFont="1" applyFill="1" applyBorder="1" applyAlignment="1">
      <alignment horizontal="center" vertical="center"/>
    </xf>
    <xf numFmtId="0" fontId="12" fillId="7" borderId="0" xfId="0" applyFont="1" applyFill="1" applyAlignment="1">
      <alignment horizontal="center" vertical="center"/>
    </xf>
    <xf numFmtId="0" fontId="12" fillId="7" borderId="12" xfId="0" applyFont="1" applyFill="1" applyBorder="1" applyAlignment="1">
      <alignment horizontal="center" vertical="center"/>
    </xf>
    <xf numFmtId="0" fontId="0" fillId="0" borderId="7" xfId="0" applyBorder="1" applyAlignment="1">
      <alignment horizontal="center" vertical="center"/>
    </xf>
    <xf numFmtId="0" fontId="3" fillId="0" borderId="7" xfId="0" applyFont="1" applyBorder="1" applyAlignment="1">
      <alignment horizontal="center" vertical="center" wrapText="1"/>
    </xf>
    <xf numFmtId="0" fontId="0" fillId="0" borderId="12" xfId="0" applyBorder="1" applyAlignment="1">
      <alignment horizontal="center" vertical="center"/>
    </xf>
    <xf numFmtId="0" fontId="0" fillId="0" borderId="0" xfId="0" applyAlignment="1">
      <alignment horizontal="left" vertical="center" indent="1"/>
    </xf>
    <xf numFmtId="0" fontId="0" fillId="0" borderId="0" xfId="0" applyAlignment="1">
      <alignment horizontal="left" vertical="center" wrapText="1" indent="1"/>
    </xf>
    <xf numFmtId="0" fontId="0" fillId="0" borderId="9" xfId="0" applyBorder="1" applyAlignment="1">
      <alignment horizontal="left" vertical="center" indent="1"/>
    </xf>
    <xf numFmtId="0" fontId="0" fillId="0" borderId="11" xfId="0" applyBorder="1" applyAlignment="1">
      <alignment horizontal="left" vertical="center" indent="1"/>
    </xf>
    <xf numFmtId="0" fontId="0" fillId="0" borderId="12" xfId="0" applyBorder="1" applyAlignment="1">
      <alignment horizontal="left" vertical="center" indent="1"/>
    </xf>
    <xf numFmtId="0" fontId="0" fillId="0" borderId="12" xfId="0" applyBorder="1" applyAlignment="1">
      <alignment horizontal="left" vertical="center" wrapText="1" indent="1"/>
    </xf>
    <xf numFmtId="0" fontId="5" fillId="0" borderId="0" xfId="0" applyFont="1" applyAlignment="1">
      <alignment vertical="top" wrapText="1"/>
    </xf>
    <xf numFmtId="0" fontId="11" fillId="5" borderId="6" xfId="0" applyFont="1" applyFill="1" applyBorder="1" applyAlignment="1">
      <alignment horizontal="left" vertical="center" indent="1"/>
    </xf>
    <xf numFmtId="0" fontId="5" fillId="5" borderId="7" xfId="0" applyFont="1" applyFill="1" applyBorder="1" applyAlignment="1">
      <alignment horizontal="center" vertical="center" wrapText="1"/>
    </xf>
    <xf numFmtId="0" fontId="5" fillId="5" borderId="7" xfId="0" applyFont="1" applyFill="1" applyBorder="1" applyAlignment="1">
      <alignment horizontal="center" vertical="center"/>
    </xf>
    <xf numFmtId="0" fontId="5" fillId="5" borderId="8" xfId="0" applyFont="1" applyFill="1" applyBorder="1" applyAlignment="1">
      <alignment horizontal="center" vertical="center"/>
    </xf>
    <xf numFmtId="0" fontId="12" fillId="7" borderId="7" xfId="0" applyFont="1" applyFill="1" applyBorder="1" applyAlignment="1">
      <alignment horizontal="center" vertical="center" wrapText="1"/>
    </xf>
    <xf numFmtId="0" fontId="12" fillId="7" borderId="0" xfId="0" applyFont="1" applyFill="1" applyAlignment="1">
      <alignment horizontal="center" vertical="center" wrapText="1"/>
    </xf>
    <xf numFmtId="0" fontId="12" fillId="7" borderId="12" xfId="0" applyFont="1" applyFill="1" applyBorder="1" applyAlignment="1">
      <alignment horizontal="center" vertical="center" wrapText="1"/>
    </xf>
    <xf numFmtId="0" fontId="16" fillId="0" borderId="0" xfId="0" applyFont="1"/>
    <xf numFmtId="0" fontId="15" fillId="0" borderId="0" xfId="0" applyFont="1" applyAlignment="1">
      <alignment horizontal="center" vertical="center" wrapText="1"/>
    </xf>
    <xf numFmtId="0" fontId="15" fillId="0" borderId="0" xfId="0" applyFont="1" applyAlignment="1">
      <alignment horizontal="center" vertical="center"/>
    </xf>
    <xf numFmtId="0" fontId="17" fillId="0" borderId="0" xfId="0" applyFont="1" applyAlignment="1">
      <alignment vertical="center"/>
    </xf>
    <xf numFmtId="0" fontId="17" fillId="0" borderId="0" xfId="0" applyFont="1" applyAlignment="1">
      <alignment horizontal="center" vertical="center" wrapText="1"/>
    </xf>
    <xf numFmtId="0" fontId="17" fillId="0" borderId="0" xfId="0" applyFont="1" applyAlignment="1">
      <alignment horizontal="center" vertical="center"/>
    </xf>
    <xf numFmtId="0" fontId="12" fillId="7" borderId="9" xfId="0" applyFont="1" applyFill="1" applyBorder="1" applyAlignment="1">
      <alignment horizontal="left" vertical="center" indent="5"/>
    </xf>
    <xf numFmtId="0" fontId="19" fillId="7" borderId="6" xfId="0" applyFont="1" applyFill="1" applyBorder="1" applyAlignment="1">
      <alignment vertical="center"/>
    </xf>
    <xf numFmtId="0" fontId="12" fillId="7" borderId="8" xfId="0" applyFont="1" applyFill="1" applyBorder="1" applyAlignment="1">
      <alignment horizontal="center" vertical="center"/>
    </xf>
    <xf numFmtId="0" fontId="12" fillId="7" borderId="10" xfId="0" applyFont="1" applyFill="1" applyBorder="1" applyAlignment="1">
      <alignment horizontal="center" vertical="center"/>
    </xf>
    <xf numFmtId="0" fontId="19" fillId="7" borderId="9" xfId="0" applyFont="1" applyFill="1" applyBorder="1" applyAlignment="1">
      <alignment vertical="center"/>
    </xf>
    <xf numFmtId="0" fontId="12" fillId="7" borderId="9" xfId="0" applyFont="1" applyFill="1" applyBorder="1" applyAlignment="1">
      <alignment horizontal="left" indent="2"/>
    </xf>
    <xf numFmtId="0" fontId="12" fillId="7" borderId="11" xfId="0" applyFont="1" applyFill="1" applyBorder="1" applyAlignment="1">
      <alignment horizontal="center" vertical="center"/>
    </xf>
    <xf numFmtId="0" fontId="12" fillId="7" borderId="13" xfId="0" applyFont="1" applyFill="1" applyBorder="1" applyAlignment="1">
      <alignment horizontal="center" vertical="center"/>
    </xf>
    <xf numFmtId="0" fontId="20" fillId="7" borderId="10" xfId="0" applyFont="1" applyFill="1" applyBorder="1" applyAlignment="1">
      <alignment horizontal="center" vertical="center"/>
    </xf>
    <xf numFmtId="0" fontId="18" fillId="2" borderId="0" xfId="0" applyFont="1" applyFill="1"/>
    <xf numFmtId="0" fontId="0" fillId="0" borderId="6" xfId="0" applyBorder="1" applyAlignment="1">
      <alignment horizontal="left" vertical="center" indent="2"/>
    </xf>
    <xf numFmtId="0" fontId="0" fillId="0" borderId="7" xfId="0" applyBorder="1" applyAlignment="1">
      <alignment horizontal="left" vertical="center" wrapText="1" indent="1"/>
    </xf>
    <xf numFmtId="0" fontId="0" fillId="3" borderId="14" xfId="0" applyFill="1" applyBorder="1" applyAlignment="1">
      <alignment vertical="center"/>
    </xf>
    <xf numFmtId="0" fontId="0" fillId="3" borderId="16" xfId="0" applyFill="1" applyBorder="1" applyAlignment="1">
      <alignment vertical="center"/>
    </xf>
    <xf numFmtId="0" fontId="4" fillId="2" borderId="15" xfId="0" applyFont="1" applyFill="1" applyBorder="1" applyAlignment="1">
      <alignment horizontal="center" vertical="center" wrapText="1"/>
    </xf>
    <xf numFmtId="0" fontId="0" fillId="3" borderId="16" xfId="0" applyFill="1" applyBorder="1" applyAlignment="1">
      <alignment horizontal="center" vertical="center"/>
    </xf>
    <xf numFmtId="0" fontId="3" fillId="3" borderId="16" xfId="0" applyFont="1" applyFill="1" applyBorder="1" applyAlignment="1">
      <alignment horizontal="center" vertical="center" wrapText="1"/>
    </xf>
    <xf numFmtId="0" fontId="4" fillId="0" borderId="16" xfId="0" applyFont="1" applyBorder="1" applyAlignment="1">
      <alignment horizontal="center" vertical="center" wrapText="1"/>
    </xf>
    <xf numFmtId="0" fontId="0" fillId="3" borderId="16" xfId="0" applyFill="1" applyBorder="1" applyAlignment="1">
      <alignment horizontal="center" vertical="center" wrapText="1"/>
    </xf>
    <xf numFmtId="0" fontId="0" fillId="3" borderId="17" xfId="0" applyFill="1" applyBorder="1" applyAlignment="1">
      <alignment horizontal="center" vertical="center"/>
    </xf>
    <xf numFmtId="0" fontId="5" fillId="2" borderId="0" xfId="0" applyFont="1" applyFill="1" applyAlignment="1">
      <alignment horizontal="center" vertical="center" wrapText="1"/>
    </xf>
    <xf numFmtId="0" fontId="0" fillId="2" borderId="0" xfId="0" applyFill="1" applyAlignment="1">
      <alignment horizontal="center" vertical="center" wrapText="1"/>
    </xf>
    <xf numFmtId="0" fontId="12" fillId="2" borderId="0" xfId="0" applyFont="1" applyFill="1" applyAlignment="1">
      <alignment horizontal="center" vertical="center"/>
    </xf>
    <xf numFmtId="0" fontId="12" fillId="2" borderId="0" xfId="0" applyFont="1" applyFill="1" applyAlignment="1">
      <alignment horizontal="center" vertical="center" wrapText="1"/>
    </xf>
    <xf numFmtId="0" fontId="11" fillId="2" borderId="18" xfId="0" applyFont="1" applyFill="1" applyBorder="1" applyAlignment="1">
      <alignment horizontal="center" vertical="center" wrapText="1"/>
    </xf>
    <xf numFmtId="0" fontId="17" fillId="2" borderId="0" xfId="0" applyFont="1" applyFill="1" applyAlignment="1">
      <alignment vertical="center"/>
    </xf>
    <xf numFmtId="0" fontId="17" fillId="2" borderId="0" xfId="0" applyFont="1" applyFill="1" applyAlignment="1">
      <alignment horizontal="center" vertical="center" wrapText="1"/>
    </xf>
    <xf numFmtId="0" fontId="15" fillId="2" borderId="0" xfId="0" applyFont="1" applyFill="1" applyAlignment="1">
      <alignment horizontal="center" vertical="center" wrapText="1"/>
    </xf>
    <xf numFmtId="0" fontId="5" fillId="2" borderId="0" xfId="0" applyFont="1" applyFill="1" applyAlignment="1">
      <alignment vertical="top" wrapText="1"/>
    </xf>
    <xf numFmtId="0" fontId="0" fillId="2" borderId="7" xfId="0" applyFill="1" applyBorder="1" applyAlignment="1">
      <alignment horizontal="center" vertical="center" wrapText="1"/>
    </xf>
    <xf numFmtId="0" fontId="0" fillId="2" borderId="12" xfId="0" applyFill="1" applyBorder="1" applyAlignment="1">
      <alignment horizontal="center" vertical="center" wrapText="1"/>
    </xf>
    <xf numFmtId="0" fontId="0" fillId="2" borderId="16" xfId="0" applyFill="1" applyBorder="1" applyAlignment="1">
      <alignment horizontal="center" vertical="center" wrapText="1"/>
    </xf>
    <xf numFmtId="0" fontId="11" fillId="7" borderId="0" xfId="0" applyFont="1" applyFill="1" applyAlignment="1">
      <alignment vertical="center"/>
    </xf>
    <xf numFmtId="0" fontId="11" fillId="5" borderId="7" xfId="0" applyFont="1" applyFill="1" applyBorder="1" applyAlignment="1">
      <alignment horizontal="left" vertical="center" indent="1"/>
    </xf>
    <xf numFmtId="0" fontId="19" fillId="7" borderId="7" xfId="0" applyFont="1" applyFill="1" applyBorder="1" applyAlignment="1">
      <alignment vertical="center"/>
    </xf>
    <xf numFmtId="0" fontId="19" fillId="7" borderId="0" xfId="0" applyFont="1" applyFill="1" applyAlignment="1">
      <alignment vertical="center"/>
    </xf>
    <xf numFmtId="0" fontId="12" fillId="7" borderId="0" xfId="0" applyFont="1" applyFill="1" applyAlignment="1">
      <alignment horizontal="left" vertical="center" indent="5"/>
    </xf>
    <xf numFmtId="0" fontId="12" fillId="7" borderId="0" xfId="0" applyFont="1" applyFill="1" applyAlignment="1">
      <alignment horizontal="left" indent="2"/>
    </xf>
    <xf numFmtId="0" fontId="11" fillId="2" borderId="16" xfId="0" applyFont="1" applyFill="1" applyBorder="1" applyAlignment="1">
      <alignment horizontal="center" vertical="center" wrapText="1"/>
    </xf>
    <xf numFmtId="0" fontId="0" fillId="0" borderId="7" xfId="0" applyBorder="1" applyAlignment="1">
      <alignment horizontal="left" vertical="center" indent="2"/>
    </xf>
    <xf numFmtId="0" fontId="5" fillId="8" borderId="0" xfId="0" applyFont="1" applyFill="1" applyAlignment="1">
      <alignment horizontal="center" vertical="center" wrapText="1"/>
    </xf>
    <xf numFmtId="0" fontId="4" fillId="8" borderId="10" xfId="0" applyFont="1" applyFill="1" applyBorder="1" applyAlignment="1">
      <alignment horizontal="center" vertical="center"/>
    </xf>
    <xf numFmtId="0" fontId="5" fillId="0" borderId="0" xfId="0" applyFont="1" applyAlignment="1">
      <alignment vertical="center"/>
    </xf>
    <xf numFmtId="0" fontId="5" fillId="3" borderId="7" xfId="0" applyFont="1" applyFill="1" applyBorder="1" applyAlignment="1">
      <alignment horizontal="center" vertical="center" wrapText="1"/>
    </xf>
    <xf numFmtId="0" fontId="5" fillId="2" borderId="0" xfId="0" applyFont="1" applyFill="1" applyAlignment="1">
      <alignment horizontal="center" vertical="center"/>
    </xf>
    <xf numFmtId="0" fontId="7" fillId="3" borderId="2" xfId="0" applyFont="1" applyFill="1" applyBorder="1" applyAlignment="1">
      <alignment horizontal="center" vertical="center" wrapText="1"/>
    </xf>
    <xf numFmtId="0" fontId="7" fillId="3" borderId="2" xfId="0" applyFont="1" applyFill="1" applyBorder="1" applyAlignment="1">
      <alignment horizontal="center" vertical="center"/>
    </xf>
    <xf numFmtId="0" fontId="7" fillId="8" borderId="2" xfId="0" applyFont="1" applyFill="1" applyBorder="1" applyAlignment="1">
      <alignment horizontal="center" vertical="center" wrapText="1"/>
    </xf>
    <xf numFmtId="0" fontId="7" fillId="4" borderId="2" xfId="0" applyFont="1" applyFill="1" applyBorder="1" applyAlignment="1">
      <alignment horizontal="center" vertical="center" wrapText="1"/>
    </xf>
    <xf numFmtId="0" fontId="13" fillId="2" borderId="0" xfId="0" applyFont="1" applyFill="1" applyAlignment="1">
      <alignment horizontal="center" vertical="center"/>
    </xf>
    <xf numFmtId="0" fontId="2" fillId="0" borderId="0" xfId="0" applyFont="1" applyAlignment="1">
      <alignment horizontal="left" vertical="center" wrapText="1"/>
    </xf>
    <xf numFmtId="0" fontId="11" fillId="3" borderId="6" xfId="0" applyFont="1" applyFill="1" applyBorder="1" applyAlignment="1">
      <alignment horizontal="left" vertical="center" indent="1"/>
    </xf>
    <xf numFmtId="0" fontId="11" fillId="3" borderId="7" xfId="0" applyFont="1" applyFill="1" applyBorder="1" applyAlignment="1">
      <alignment horizontal="left" vertical="center" indent="1"/>
    </xf>
    <xf numFmtId="0" fontId="5" fillId="3" borderId="7" xfId="0" applyFont="1" applyFill="1" applyBorder="1" applyAlignment="1">
      <alignment horizontal="center" vertical="center"/>
    </xf>
    <xf numFmtId="0" fontId="5" fillId="3" borderId="8" xfId="0" applyFont="1" applyFill="1" applyBorder="1" applyAlignment="1">
      <alignment horizontal="center" vertical="center"/>
    </xf>
    <xf numFmtId="0" fontId="0" fillId="3" borderId="7" xfId="0" applyFill="1" applyBorder="1" applyAlignment="1">
      <alignment horizontal="center" vertical="center"/>
    </xf>
    <xf numFmtId="0" fontId="0" fillId="0" borderId="0" xfId="0" applyAlignment="1">
      <alignment vertical="center" wrapText="1"/>
    </xf>
    <xf numFmtId="0" fontId="2" fillId="3" borderId="1" xfId="0" applyFont="1" applyFill="1" applyBorder="1" applyAlignment="1">
      <alignment horizontal="center" vertical="center" wrapText="1"/>
    </xf>
    <xf numFmtId="0" fontId="7" fillId="2" borderId="2" xfId="0" applyFont="1" applyFill="1" applyBorder="1" applyAlignment="1">
      <alignment horizontal="center" vertical="center" wrapText="1"/>
    </xf>
    <xf numFmtId="0" fontId="4" fillId="9" borderId="2" xfId="0" applyFont="1" applyFill="1" applyBorder="1" applyAlignment="1">
      <alignment horizontal="center" vertical="center"/>
    </xf>
    <xf numFmtId="0" fontId="8" fillId="3" borderId="5" xfId="0" applyFont="1" applyFill="1" applyBorder="1" applyAlignment="1">
      <alignment horizontal="center" vertical="center" wrapText="1"/>
    </xf>
    <xf numFmtId="0" fontId="7" fillId="3" borderId="1" xfId="0" applyFont="1" applyFill="1" applyBorder="1" applyAlignment="1">
      <alignment horizontal="center" vertical="center" wrapText="1"/>
    </xf>
    <xf numFmtId="0" fontId="0" fillId="0" borderId="7" xfId="0" applyBorder="1" applyAlignment="1">
      <alignment vertical="center"/>
    </xf>
    <xf numFmtId="0" fontId="0" fillId="3" borderId="0" xfId="0" applyFill="1" applyAlignment="1">
      <alignment vertical="center"/>
    </xf>
    <xf numFmtId="0" fontId="0" fillId="0" borderId="12" xfId="0" applyBorder="1" applyAlignment="1">
      <alignment vertical="center"/>
    </xf>
    <xf numFmtId="0" fontId="0" fillId="2" borderId="0" xfId="0" applyFill="1" applyAlignment="1">
      <alignment horizontal="center" vertical="center"/>
    </xf>
    <xf numFmtId="0" fontId="1" fillId="2" borderId="0" xfId="0" applyFont="1" applyFill="1" applyAlignment="1">
      <alignment vertical="center"/>
    </xf>
    <xf numFmtId="0" fontId="4" fillId="6" borderId="1" xfId="0" applyFont="1" applyFill="1" applyBorder="1" applyAlignment="1">
      <alignment horizontal="center" vertical="center" wrapText="1"/>
    </xf>
    <xf numFmtId="0" fontId="21" fillId="3" borderId="18" xfId="0" applyFont="1" applyFill="1" applyBorder="1" applyAlignment="1">
      <alignment horizontal="center" vertical="center" wrapText="1"/>
    </xf>
    <xf numFmtId="0" fontId="8" fillId="0" borderId="1" xfId="0" applyFont="1" applyBorder="1" applyAlignment="1">
      <alignment vertical="center" wrapText="1"/>
    </xf>
    <xf numFmtId="166" fontId="8" fillId="0" borderId="1" xfId="0" applyNumberFormat="1" applyFont="1" applyBorder="1" applyAlignment="1">
      <alignment vertical="center" wrapText="1"/>
    </xf>
    <xf numFmtId="0" fontId="7" fillId="2" borderId="1" xfId="0" applyFont="1" applyFill="1" applyBorder="1" applyAlignment="1">
      <alignment horizontal="center" vertical="center" wrapText="1"/>
    </xf>
    <xf numFmtId="0" fontId="6" fillId="10" borderId="20" xfId="0" applyFont="1" applyFill="1" applyBorder="1" applyAlignment="1">
      <alignment horizontal="center" vertical="center" wrapText="1"/>
    </xf>
    <xf numFmtId="0" fontId="7" fillId="0" borderId="1" xfId="0" applyFont="1" applyBorder="1" applyAlignment="1">
      <alignment horizontal="center" vertical="center" wrapText="1"/>
    </xf>
    <xf numFmtId="0" fontId="6" fillId="0" borderId="0" xfId="0" applyFont="1" applyAlignment="1">
      <alignment horizontal="right" vertical="center"/>
    </xf>
    <xf numFmtId="0" fontId="0" fillId="0" borderId="0" xfId="0" applyAlignment="1">
      <alignment horizontal="right" vertical="center"/>
    </xf>
    <xf numFmtId="0" fontId="31" fillId="3" borderId="0" xfId="0" applyFont="1" applyFill="1" applyAlignment="1">
      <alignment vertical="center"/>
    </xf>
    <xf numFmtId="0" fontId="4" fillId="2" borderId="0" xfId="0" applyFont="1" applyFill="1" applyAlignment="1">
      <alignment horizontal="left" vertical="center"/>
    </xf>
    <xf numFmtId="0" fontId="4" fillId="2" borderId="0" xfId="0" applyFont="1" applyFill="1" applyAlignment="1">
      <alignment horizontal="center" vertical="center"/>
    </xf>
    <xf numFmtId="0" fontId="5" fillId="2" borderId="0" xfId="0" applyFont="1" applyFill="1" applyAlignment="1">
      <alignment vertical="center"/>
    </xf>
    <xf numFmtId="0" fontId="5" fillId="2" borderId="0" xfId="0" applyFont="1" applyFill="1" applyAlignment="1">
      <alignment horizontal="left" vertical="center"/>
    </xf>
    <xf numFmtId="0" fontId="0" fillId="11" borderId="0" xfId="0" applyFill="1" applyAlignment="1">
      <alignment vertical="center"/>
    </xf>
    <xf numFmtId="0" fontId="0" fillId="11" borderId="6" xfId="0" applyFill="1" applyBorder="1" applyAlignment="1">
      <alignment vertical="center"/>
    </xf>
    <xf numFmtId="0" fontId="0" fillId="11" borderId="8" xfId="0" applyFill="1" applyBorder="1" applyAlignment="1">
      <alignment vertical="center"/>
    </xf>
    <xf numFmtId="0" fontId="0" fillId="11" borderId="9" xfId="0" applyFill="1" applyBorder="1" applyAlignment="1">
      <alignment vertical="center"/>
    </xf>
    <xf numFmtId="0" fontId="0" fillId="11" borderId="10" xfId="0" applyFill="1" applyBorder="1" applyAlignment="1">
      <alignment vertical="center"/>
    </xf>
    <xf numFmtId="0" fontId="0" fillId="11" borderId="11" xfId="0" applyFill="1" applyBorder="1" applyAlignment="1">
      <alignment vertical="center"/>
    </xf>
    <xf numFmtId="0" fontId="0" fillId="11" borderId="12" xfId="0" applyFill="1" applyBorder="1" applyAlignment="1">
      <alignment vertical="center"/>
    </xf>
    <xf numFmtId="0" fontId="0" fillId="11" borderId="13" xfId="0" applyFill="1" applyBorder="1" applyAlignment="1">
      <alignment vertical="center"/>
    </xf>
    <xf numFmtId="0" fontId="1" fillId="2" borderId="1" xfId="0" applyFont="1" applyFill="1" applyBorder="1" applyAlignment="1">
      <alignment horizontal="center" vertical="center" wrapText="1"/>
    </xf>
    <xf numFmtId="0" fontId="17" fillId="8" borderId="29" xfId="0" applyFont="1" applyFill="1" applyBorder="1" applyAlignment="1">
      <alignment vertical="center"/>
    </xf>
    <xf numFmtId="0" fontId="0" fillId="8" borderId="29" xfId="0" applyFill="1" applyBorder="1" applyAlignment="1">
      <alignment horizontal="center" vertical="center"/>
    </xf>
    <xf numFmtId="0" fontId="6" fillId="8" borderId="29" xfId="0" applyFont="1" applyFill="1" applyBorder="1" applyAlignment="1">
      <alignment horizontal="center" vertical="center"/>
    </xf>
    <xf numFmtId="0" fontId="17" fillId="8" borderId="29" xfId="0" applyFont="1" applyFill="1" applyBorder="1" applyAlignment="1">
      <alignment horizontal="center" vertical="center"/>
    </xf>
    <xf numFmtId="0" fontId="17" fillId="8" borderId="20" xfId="0" applyFont="1" applyFill="1" applyBorder="1" applyAlignment="1">
      <alignment horizontal="center" vertical="center"/>
    </xf>
    <xf numFmtId="0" fontId="7" fillId="8" borderId="2" xfId="0" applyFont="1" applyFill="1" applyBorder="1" applyAlignment="1">
      <alignment horizontal="center" vertical="center"/>
    </xf>
    <xf numFmtId="0" fontId="4" fillId="8" borderId="2" xfId="0" applyFont="1" applyFill="1" applyBorder="1" applyAlignment="1">
      <alignment horizontal="center" vertical="center"/>
    </xf>
    <xf numFmtId="0" fontId="0" fillId="11" borderId="7" xfId="0" applyFill="1" applyBorder="1" applyAlignment="1">
      <alignment vertical="center"/>
    </xf>
    <xf numFmtId="0" fontId="5" fillId="4" borderId="0" xfId="0" applyFont="1" applyFill="1" applyAlignment="1">
      <alignment horizontal="center" vertical="center"/>
    </xf>
    <xf numFmtId="0" fontId="0" fillId="4" borderId="0" xfId="0" applyFill="1" applyAlignment="1">
      <alignment horizontal="center" vertical="center" wrapText="1"/>
    </xf>
    <xf numFmtId="0" fontId="7" fillId="11" borderId="9" xfId="0" applyFont="1" applyFill="1" applyBorder="1" applyAlignment="1">
      <alignment horizontal="center" vertical="center" wrapText="1"/>
    </xf>
    <xf numFmtId="0" fontId="0" fillId="2" borderId="0" xfId="0" applyFill="1" applyAlignment="1">
      <alignment vertical="center" wrapText="1"/>
    </xf>
    <xf numFmtId="0" fontId="11" fillId="2" borderId="11" xfId="0" applyFont="1" applyFill="1" applyBorder="1" applyAlignment="1">
      <alignment horizontal="center" vertical="center" wrapText="1"/>
    </xf>
    <xf numFmtId="0" fontId="2" fillId="0" borderId="0" xfId="0" applyFont="1" applyAlignment="1">
      <alignment horizontal="left" vertical="center"/>
    </xf>
    <xf numFmtId="0" fontId="44" fillId="2" borderId="0" xfId="0" applyFont="1" applyFill="1" applyAlignment="1">
      <alignment horizontal="center" vertical="center" wrapText="1"/>
    </xf>
    <xf numFmtId="0" fontId="44" fillId="10" borderId="18" xfId="0" applyFont="1" applyFill="1" applyBorder="1" applyAlignment="1">
      <alignment horizontal="center" vertical="center" wrapText="1"/>
    </xf>
    <xf numFmtId="0" fontId="11" fillId="2" borderId="0" xfId="0" applyFont="1" applyFill="1" applyAlignment="1">
      <alignment horizontal="center" vertical="center" wrapText="1"/>
    </xf>
    <xf numFmtId="0" fontId="44" fillId="10" borderId="30" xfId="0" applyFont="1" applyFill="1" applyBorder="1" applyAlignment="1">
      <alignment horizontal="center" vertical="center" wrapText="1"/>
    </xf>
    <xf numFmtId="0" fontId="45" fillId="2" borderId="0" xfId="0" applyFont="1" applyFill="1" applyAlignment="1">
      <alignment horizontal="center" vertical="center" wrapText="1"/>
    </xf>
    <xf numFmtId="0" fontId="43" fillId="2" borderId="0" xfId="0" applyFont="1" applyFill="1" applyAlignment="1">
      <alignment horizontal="center" vertical="center" wrapText="1"/>
    </xf>
    <xf numFmtId="0" fontId="26" fillId="2" borderId="0" xfId="0" applyFont="1" applyFill="1" applyAlignment="1">
      <alignment horizontal="center" vertical="center" wrapText="1"/>
    </xf>
    <xf numFmtId="0" fontId="0" fillId="0" borderId="1" xfId="0" applyBorder="1" applyAlignment="1">
      <alignment vertical="center"/>
    </xf>
    <xf numFmtId="0" fontId="0" fillId="2" borderId="1" xfId="0" applyFill="1" applyBorder="1" applyAlignment="1">
      <alignment vertical="center"/>
    </xf>
    <xf numFmtId="0" fontId="33" fillId="0" borderId="1" xfId="0" applyFont="1" applyBorder="1" applyAlignment="1">
      <alignment horizontal="center" vertical="center"/>
    </xf>
    <xf numFmtId="0" fontId="5" fillId="0" borderId="1" xfId="0" applyFont="1" applyBorder="1" applyAlignment="1">
      <alignment vertical="center"/>
    </xf>
    <xf numFmtId="164" fontId="1" fillId="0" borderId="0" xfId="0" applyNumberFormat="1" applyFont="1" applyAlignment="1">
      <alignment horizontal="center" vertical="center" wrapText="1"/>
    </xf>
    <xf numFmtId="164" fontId="4" fillId="0" borderId="0" xfId="0" applyNumberFormat="1" applyFont="1" applyAlignment="1">
      <alignment horizontal="center" vertical="center"/>
    </xf>
    <xf numFmtId="164" fontId="11" fillId="0" borderId="0" xfId="0" applyNumberFormat="1" applyFont="1" applyAlignment="1">
      <alignment horizontal="center" vertical="center" wrapText="1"/>
    </xf>
    <xf numFmtId="164" fontId="11" fillId="0" borderId="0" xfId="0" applyNumberFormat="1" applyFont="1" applyAlignment="1">
      <alignment horizontal="center" vertical="center"/>
    </xf>
    <xf numFmtId="0" fontId="0" fillId="3" borderId="10" xfId="0" applyFill="1" applyBorder="1" applyAlignment="1">
      <alignment vertical="center"/>
    </xf>
    <xf numFmtId="0" fontId="12" fillId="3" borderId="12" xfId="0" applyFont="1" applyFill="1" applyBorder="1" applyAlignment="1">
      <alignment horizontal="center" vertical="center" wrapText="1"/>
    </xf>
    <xf numFmtId="0" fontId="12" fillId="3" borderId="13" xfId="0" applyFont="1" applyFill="1" applyBorder="1" applyAlignment="1">
      <alignment horizontal="center" vertical="center" wrapText="1"/>
    </xf>
    <xf numFmtId="0" fontId="33" fillId="0" borderId="0" xfId="0" applyFont="1" applyAlignment="1">
      <alignment horizontal="center" vertical="center"/>
    </xf>
    <xf numFmtId="0" fontId="28" fillId="0" borderId="0" xfId="0" applyFont="1" applyAlignment="1">
      <alignment vertical="center"/>
    </xf>
    <xf numFmtId="0" fontId="28" fillId="2" borderId="0" xfId="0" applyFont="1" applyFill="1" applyAlignment="1">
      <alignment vertical="center"/>
    </xf>
    <xf numFmtId="0" fontId="28" fillId="0" borderId="1" xfId="0" applyFont="1" applyBorder="1" applyAlignment="1">
      <alignment vertical="center"/>
    </xf>
    <xf numFmtId="0" fontId="50" fillId="13" borderId="1" xfId="0" applyFont="1" applyFill="1" applyBorder="1" applyAlignment="1">
      <alignment horizontal="center" vertical="center"/>
    </xf>
    <xf numFmtId="167" fontId="6" fillId="0" borderId="0" xfId="0" applyNumberFormat="1" applyFont="1" applyAlignment="1">
      <alignment horizontal="right" vertical="center"/>
    </xf>
    <xf numFmtId="167" fontId="0" fillId="0" borderId="0" xfId="0" applyNumberFormat="1" applyAlignment="1">
      <alignment horizontal="right" vertical="center"/>
    </xf>
    <xf numFmtId="0" fontId="51" fillId="2" borderId="0" xfId="0" applyFont="1" applyFill="1" applyAlignment="1">
      <alignment horizontal="center" vertical="center" wrapText="1"/>
    </xf>
    <xf numFmtId="0" fontId="51" fillId="2" borderId="0" xfId="0" applyFont="1" applyFill="1" applyAlignment="1">
      <alignment horizontal="center"/>
    </xf>
    <xf numFmtId="0" fontId="49" fillId="0" borderId="0" xfId="0" applyFont="1" applyAlignment="1">
      <alignment vertical="center"/>
    </xf>
    <xf numFmtId="0" fontId="56" fillId="2" borderId="1" xfId="0" applyFont="1" applyFill="1" applyBorder="1" applyAlignment="1">
      <alignment horizontal="center" vertical="center" wrapText="1"/>
    </xf>
    <xf numFmtId="0" fontId="57" fillId="2" borderId="1" xfId="0" applyFont="1" applyFill="1" applyBorder="1" applyAlignment="1">
      <alignment horizontal="center" vertical="center" wrapText="1"/>
    </xf>
    <xf numFmtId="164" fontId="57" fillId="12" borderId="1" xfId="0" applyNumberFormat="1" applyFont="1" applyFill="1" applyBorder="1" applyAlignment="1">
      <alignment horizontal="center" vertical="center" wrapText="1"/>
    </xf>
    <xf numFmtId="165" fontId="57" fillId="12" borderId="1" xfId="0" applyNumberFormat="1" applyFont="1" applyFill="1" applyBorder="1" applyAlignment="1">
      <alignment horizontal="center" vertical="center" wrapText="1"/>
    </xf>
    <xf numFmtId="166" fontId="57" fillId="4" borderId="1" xfId="0" applyNumberFormat="1" applyFont="1" applyFill="1" applyBorder="1" applyAlignment="1">
      <alignment horizontal="center" vertical="center" wrapText="1"/>
    </xf>
    <xf numFmtId="166" fontId="57" fillId="12" borderId="1" xfId="0" applyNumberFormat="1" applyFont="1" applyFill="1" applyBorder="1" applyAlignment="1">
      <alignment horizontal="center" vertical="center" wrapText="1"/>
    </xf>
    <xf numFmtId="166" fontId="57" fillId="2" borderId="1" xfId="0" applyNumberFormat="1" applyFont="1" applyFill="1" applyBorder="1" applyAlignment="1">
      <alignment horizontal="center" vertical="center" wrapText="1"/>
    </xf>
    <xf numFmtId="0" fontId="58" fillId="2" borderId="1" xfId="0" applyFont="1" applyFill="1" applyBorder="1" applyAlignment="1">
      <alignment horizontal="center" vertical="center" wrapText="1"/>
    </xf>
    <xf numFmtId="0" fontId="57" fillId="3" borderId="2" xfId="0" applyFont="1" applyFill="1" applyBorder="1" applyAlignment="1">
      <alignment horizontal="center" vertical="center" wrapText="1"/>
    </xf>
    <xf numFmtId="0" fontId="57" fillId="12" borderId="2" xfId="0" applyFont="1" applyFill="1" applyBorder="1" applyAlignment="1">
      <alignment horizontal="center" vertical="center" wrapText="1"/>
    </xf>
    <xf numFmtId="0" fontId="57" fillId="4" borderId="2" xfId="0" applyFont="1" applyFill="1" applyBorder="1" applyAlignment="1">
      <alignment horizontal="center" vertical="center" wrapText="1"/>
    </xf>
    <xf numFmtId="0" fontId="57" fillId="10" borderId="2" xfId="0" applyFont="1" applyFill="1" applyBorder="1" applyAlignment="1">
      <alignment horizontal="center" vertical="center" wrapText="1"/>
    </xf>
    <xf numFmtId="0" fontId="57" fillId="9" borderId="2" xfId="0" applyFont="1" applyFill="1" applyBorder="1" applyAlignment="1">
      <alignment horizontal="center" vertical="center"/>
    </xf>
    <xf numFmtId="164" fontId="61" fillId="12" borderId="1" xfId="0" applyNumberFormat="1" applyFont="1" applyFill="1" applyBorder="1" applyAlignment="1">
      <alignment horizontal="center" vertical="center" wrapText="1"/>
    </xf>
    <xf numFmtId="0" fontId="63" fillId="9" borderId="0" xfId="0" applyFont="1" applyFill="1" applyAlignment="1">
      <alignment horizontal="center"/>
    </xf>
    <xf numFmtId="166" fontId="57" fillId="3" borderId="1" xfId="0" applyNumberFormat="1" applyFont="1" applyFill="1" applyBorder="1" applyAlignment="1">
      <alignment horizontal="center" vertical="center" wrapText="1"/>
    </xf>
    <xf numFmtId="0" fontId="64" fillId="9" borderId="0" xfId="0" applyFont="1" applyFill="1" applyAlignment="1">
      <alignment horizontal="center" vertical="center" wrapText="1"/>
    </xf>
    <xf numFmtId="164" fontId="57" fillId="3" borderId="1" xfId="0" applyNumberFormat="1" applyFont="1" applyFill="1" applyBorder="1" applyAlignment="1">
      <alignment horizontal="center" vertical="center" wrapText="1"/>
    </xf>
    <xf numFmtId="0" fontId="58" fillId="3" borderId="1" xfId="0" applyFont="1" applyFill="1" applyBorder="1" applyAlignment="1">
      <alignment horizontal="center" vertical="center" wrapText="1"/>
    </xf>
    <xf numFmtId="0" fontId="57" fillId="3" borderId="1" xfId="0" applyFont="1" applyFill="1" applyBorder="1" applyAlignment="1">
      <alignment horizontal="center" vertical="center" wrapText="1"/>
    </xf>
    <xf numFmtId="0" fontId="0" fillId="0" borderId="28" xfId="0" applyBorder="1" applyAlignment="1">
      <alignment horizontal="center" vertical="center" wrapText="1"/>
    </xf>
    <xf numFmtId="0" fontId="21" fillId="10" borderId="14" xfId="0" applyFont="1" applyFill="1" applyBorder="1" applyAlignment="1">
      <alignment vertical="center" wrapText="1"/>
    </xf>
    <xf numFmtId="0" fontId="65" fillId="0" borderId="0" xfId="0" applyFont="1" applyAlignment="1">
      <alignment horizontal="center" vertical="center"/>
    </xf>
    <xf numFmtId="167" fontId="57" fillId="0" borderId="0" xfId="0" applyNumberFormat="1" applyFont="1" applyAlignment="1">
      <alignment horizontal="center" vertical="center"/>
    </xf>
    <xf numFmtId="167" fontId="52" fillId="0" borderId="0" xfId="0" applyNumberFormat="1" applyFont="1" applyAlignment="1">
      <alignment horizontal="center" vertical="center"/>
    </xf>
    <xf numFmtId="0" fontId="49" fillId="14" borderId="1" xfId="0" applyFont="1" applyFill="1" applyBorder="1" applyAlignment="1">
      <alignment horizontal="center" vertical="center"/>
    </xf>
    <xf numFmtId="0" fontId="67" fillId="14" borderId="1" xfId="0" applyFont="1" applyFill="1" applyBorder="1" applyAlignment="1">
      <alignment horizontal="center" vertical="center"/>
    </xf>
    <xf numFmtId="0" fontId="50" fillId="14" borderId="1" xfId="0" applyFont="1" applyFill="1" applyBorder="1" applyAlignment="1">
      <alignment horizontal="center" vertical="center" wrapText="1"/>
    </xf>
    <xf numFmtId="0" fontId="50" fillId="13" borderId="1" xfId="0" applyFont="1" applyFill="1" applyBorder="1" applyAlignment="1">
      <alignment horizontal="center" vertical="center" wrapText="1"/>
    </xf>
    <xf numFmtId="0" fontId="51" fillId="0" borderId="1" xfId="0" applyFont="1" applyBorder="1" applyAlignment="1">
      <alignment horizontal="center" vertical="center"/>
    </xf>
    <xf numFmtId="0" fontId="52" fillId="0" borderId="0" xfId="0" applyFont="1" applyAlignment="1">
      <alignment horizontal="left" vertical="center"/>
    </xf>
    <xf numFmtId="0" fontId="69" fillId="3" borderId="18" xfId="0" applyFont="1" applyFill="1" applyBorder="1" applyAlignment="1">
      <alignment horizontal="center" vertical="center"/>
    </xf>
    <xf numFmtId="0" fontId="28" fillId="3" borderId="0" xfId="0" applyFont="1" applyFill="1" applyAlignment="1">
      <alignment vertical="center"/>
    </xf>
    <xf numFmtId="0" fontId="28" fillId="3" borderId="10" xfId="0" applyFont="1" applyFill="1" applyBorder="1" applyAlignment="1">
      <alignment vertical="center"/>
    </xf>
    <xf numFmtId="0" fontId="28" fillId="3" borderId="0" xfId="0" applyFont="1" applyFill="1" applyAlignment="1">
      <alignment vertical="center" wrapText="1"/>
    </xf>
    <xf numFmtId="0" fontId="28" fillId="3" borderId="10" xfId="0" applyFont="1" applyFill="1" applyBorder="1" applyAlignment="1">
      <alignment vertical="center" wrapText="1"/>
    </xf>
    <xf numFmtId="0" fontId="21" fillId="3" borderId="0" xfId="0" applyFont="1" applyFill="1" applyAlignment="1">
      <alignment vertical="center"/>
    </xf>
    <xf numFmtId="0" fontId="21" fillId="3" borderId="10" xfId="0" applyFont="1" applyFill="1" applyBorder="1" applyAlignment="1">
      <alignment vertical="center"/>
    </xf>
    <xf numFmtId="0" fontId="21" fillId="3" borderId="12" xfId="0" applyFont="1" applyFill="1" applyBorder="1" applyAlignment="1">
      <alignment vertical="center"/>
    </xf>
    <xf numFmtId="0" fontId="21" fillId="3" borderId="13" xfId="0" applyFont="1" applyFill="1" applyBorder="1" applyAlignment="1">
      <alignment vertical="center"/>
    </xf>
    <xf numFmtId="164" fontId="57" fillId="3" borderId="32" xfId="0" applyNumberFormat="1" applyFont="1" applyFill="1" applyBorder="1" applyAlignment="1">
      <alignment horizontal="center" vertical="center" wrapText="1"/>
    </xf>
    <xf numFmtId="164" fontId="57" fillId="3" borderId="32" xfId="0" applyNumberFormat="1" applyFont="1" applyFill="1" applyBorder="1" applyAlignment="1">
      <alignment horizontal="center" vertical="center"/>
    </xf>
    <xf numFmtId="164" fontId="57" fillId="3" borderId="30" xfId="0" applyNumberFormat="1" applyFont="1" applyFill="1" applyBorder="1" applyAlignment="1">
      <alignment horizontal="center" vertical="center"/>
    </xf>
    <xf numFmtId="0" fontId="12" fillId="3" borderId="0" xfId="0" applyFont="1" applyFill="1" applyAlignment="1">
      <alignment horizontal="center" vertical="center" wrapText="1"/>
    </xf>
    <xf numFmtId="0" fontId="28" fillId="0" borderId="0" xfId="0" applyFont="1" applyAlignment="1">
      <alignment vertical="center" wrapText="1"/>
    </xf>
    <xf numFmtId="0" fontId="0" fillId="2" borderId="10" xfId="0" applyFill="1" applyBorder="1" applyAlignment="1">
      <alignment vertical="center" wrapText="1"/>
    </xf>
    <xf numFmtId="0" fontId="0" fillId="2" borderId="10" xfId="0" applyFill="1" applyBorder="1" applyAlignment="1">
      <alignment vertical="center"/>
    </xf>
    <xf numFmtId="0" fontId="66" fillId="10" borderId="16" xfId="0" applyFont="1" applyFill="1" applyBorder="1" applyAlignment="1">
      <alignment vertical="center"/>
    </xf>
    <xf numFmtId="166" fontId="61" fillId="3" borderId="1" xfId="0" applyNumberFormat="1" applyFont="1" applyFill="1" applyBorder="1" applyAlignment="1">
      <alignment horizontal="center" vertical="center" wrapText="1"/>
    </xf>
    <xf numFmtId="0" fontId="33" fillId="2" borderId="0" xfId="0" applyFont="1" applyFill="1" applyAlignment="1">
      <alignment vertical="center" wrapText="1"/>
    </xf>
    <xf numFmtId="0" fontId="33" fillId="11" borderId="7" xfId="0" applyFont="1" applyFill="1" applyBorder="1" applyAlignment="1">
      <alignment horizontal="center" vertical="top"/>
    </xf>
    <xf numFmtId="0" fontId="33" fillId="11" borderId="8" xfId="0" applyFont="1" applyFill="1" applyBorder="1" applyAlignment="1">
      <alignment horizontal="center" vertical="top"/>
    </xf>
    <xf numFmtId="0" fontId="5" fillId="4" borderId="9" xfId="0" applyFont="1" applyFill="1" applyBorder="1" applyAlignment="1">
      <alignment horizontal="center" vertical="center" wrapText="1"/>
    </xf>
    <xf numFmtId="0" fontId="0" fillId="4" borderId="0" xfId="0" applyFill="1" applyAlignment="1">
      <alignment horizontal="center" vertical="center" wrapText="1"/>
    </xf>
    <xf numFmtId="0" fontId="0" fillId="4" borderId="10" xfId="0" applyFill="1" applyBorder="1" applyAlignment="1">
      <alignment horizontal="center" vertical="center" wrapText="1"/>
    </xf>
    <xf numFmtId="0" fontId="64" fillId="9" borderId="0" xfId="0" applyFont="1" applyFill="1" applyAlignment="1">
      <alignment horizontal="center" vertical="center" wrapText="1"/>
    </xf>
    <xf numFmtId="0" fontId="0" fillId="9" borderId="0" xfId="0" applyFill="1" applyAlignment="1">
      <alignment horizontal="center" vertical="center" wrapText="1"/>
    </xf>
    <xf numFmtId="0" fontId="62" fillId="9" borderId="0" xfId="0" applyFont="1" applyFill="1" applyAlignment="1">
      <alignment horizontal="center" vertical="center"/>
    </xf>
    <xf numFmtId="0" fontId="0" fillId="0" borderId="0" xfId="0"/>
    <xf numFmtId="0" fontId="6" fillId="9" borderId="0" xfId="0" applyFont="1" applyFill="1" applyAlignment="1">
      <alignment horizontal="right" vertical="center" wrapText="1"/>
    </xf>
    <xf numFmtId="0" fontId="0" fillId="0" borderId="0" xfId="0" applyAlignment="1">
      <alignment vertical="center" wrapText="1"/>
    </xf>
    <xf numFmtId="0" fontId="6" fillId="13" borderId="3" xfId="0" applyFont="1" applyFill="1" applyBorder="1" applyAlignment="1">
      <alignment horizontal="center" vertical="center" wrapText="1"/>
    </xf>
    <xf numFmtId="0" fontId="6" fillId="13" borderId="5" xfId="0" applyFont="1" applyFill="1" applyBorder="1" applyAlignment="1">
      <alignment horizontal="center" vertical="center" wrapText="1"/>
    </xf>
    <xf numFmtId="0" fontId="6" fillId="3" borderId="0" xfId="0" applyFont="1" applyFill="1" applyAlignment="1">
      <alignment horizontal="center" vertical="center" wrapText="1"/>
    </xf>
    <xf numFmtId="0" fontId="22" fillId="3" borderId="0" xfId="0" applyFont="1" applyFill="1" applyAlignment="1">
      <alignment horizontal="center" vertical="center"/>
    </xf>
    <xf numFmtId="0" fontId="48" fillId="0" borderId="0" xfId="0" applyFont="1" applyAlignment="1">
      <alignment vertical="center"/>
    </xf>
    <xf numFmtId="0" fontId="49" fillId="0" borderId="0" xfId="0" applyFont="1" applyAlignment="1">
      <alignment vertical="center"/>
    </xf>
    <xf numFmtId="0" fontId="54" fillId="3" borderId="0" xfId="0" applyFont="1" applyFill="1" applyAlignment="1">
      <alignment horizontal="center" vertical="center" wrapText="1"/>
    </xf>
    <xf numFmtId="0" fontId="55" fillId="0" borderId="0" xfId="0" applyFont="1" applyAlignment="1">
      <alignment horizontal="center"/>
    </xf>
    <xf numFmtId="0" fontId="52" fillId="3" borderId="0" xfId="0" applyFont="1" applyFill="1" applyAlignment="1">
      <alignment horizontal="center" vertical="center" wrapText="1"/>
    </xf>
    <xf numFmtId="0" fontId="53" fillId="0" borderId="0" xfId="0" applyFont="1" applyAlignment="1">
      <alignment horizontal="center"/>
    </xf>
    <xf numFmtId="0" fontId="57" fillId="3" borderId="1" xfId="0" applyFont="1" applyFill="1" applyBorder="1" applyAlignment="1">
      <alignment horizontal="center" vertical="center" wrapText="1"/>
    </xf>
    <xf numFmtId="0" fontId="59" fillId="3" borderId="1" xfId="0" applyFont="1" applyFill="1" applyBorder="1" applyAlignment="1">
      <alignment horizontal="center" vertical="center" wrapText="1"/>
    </xf>
    <xf numFmtId="0" fontId="61" fillId="3" borderId="1" xfId="0" applyFont="1" applyFill="1" applyBorder="1" applyAlignment="1">
      <alignment horizontal="center" vertical="center" wrapText="1"/>
    </xf>
    <xf numFmtId="0" fontId="60" fillId="3" borderId="1" xfId="0" applyFont="1" applyFill="1" applyBorder="1" applyAlignment="1">
      <alignment horizontal="center" vertical="center" wrapText="1"/>
    </xf>
    <xf numFmtId="0" fontId="0" fillId="0" borderId="5" xfId="0" applyBorder="1" applyAlignment="1">
      <alignment horizontal="center" vertical="center" wrapText="1"/>
    </xf>
    <xf numFmtId="0" fontId="11" fillId="3" borderId="9" xfId="0" applyFont="1" applyFill="1" applyBorder="1" applyAlignment="1">
      <alignment horizontal="center" vertical="center"/>
    </xf>
    <xf numFmtId="0" fontId="11" fillId="3" borderId="0" xfId="0" applyFont="1" applyFill="1" applyAlignment="1">
      <alignment horizontal="center" vertical="center"/>
    </xf>
    <xf numFmtId="0" fontId="5" fillId="3" borderId="0" xfId="0" applyFont="1" applyFill="1"/>
    <xf numFmtId="0" fontId="21" fillId="3" borderId="6" xfId="0" applyFont="1" applyFill="1" applyBorder="1" applyAlignment="1">
      <alignment horizontal="center" vertical="center" wrapText="1"/>
    </xf>
    <xf numFmtId="0" fontId="21" fillId="0" borderId="7" xfId="0" applyFont="1" applyBorder="1" applyAlignment="1">
      <alignment horizontal="center" vertical="center"/>
    </xf>
    <xf numFmtId="0" fontId="12" fillId="4" borderId="9" xfId="0" applyFont="1" applyFill="1" applyBorder="1" applyAlignment="1">
      <alignment horizontal="center" vertical="center"/>
    </xf>
    <xf numFmtId="0" fontId="5" fillId="4" borderId="0" xfId="0" applyFont="1" applyFill="1" applyAlignment="1">
      <alignment horizontal="center" vertical="center"/>
    </xf>
    <xf numFmtId="0" fontId="5" fillId="4" borderId="10" xfId="0" applyFont="1" applyFill="1" applyBorder="1" applyAlignment="1">
      <alignment horizontal="center" vertical="center"/>
    </xf>
    <xf numFmtId="0" fontId="5" fillId="0" borderId="11" xfId="0" applyFont="1" applyBorder="1" applyAlignment="1">
      <alignment vertical="top" wrapText="1"/>
    </xf>
    <xf numFmtId="0" fontId="5" fillId="0" borderId="12" xfId="0" applyFont="1" applyBorder="1" applyAlignment="1">
      <alignment vertical="top" wrapText="1"/>
    </xf>
    <xf numFmtId="0" fontId="5" fillId="0" borderId="13" xfId="0" applyFont="1" applyBorder="1" applyAlignment="1">
      <alignment vertical="top" wrapText="1"/>
    </xf>
    <xf numFmtId="0" fontId="14" fillId="3" borderId="9" xfId="0" applyFont="1" applyFill="1" applyBorder="1"/>
    <xf numFmtId="0" fontId="0" fillId="3" borderId="0" xfId="0" applyFill="1"/>
    <xf numFmtId="0" fontId="0" fillId="3" borderId="10" xfId="0" applyFill="1" applyBorder="1"/>
    <xf numFmtId="0" fontId="21" fillId="3" borderId="7" xfId="0" applyFont="1" applyFill="1" applyBorder="1" applyAlignment="1">
      <alignment horizontal="center" vertical="center"/>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23" fillId="3" borderId="11" xfId="0" applyFont="1" applyFill="1" applyBorder="1" applyAlignment="1">
      <alignment horizontal="center" wrapText="1"/>
    </xf>
    <xf numFmtId="0" fontId="24" fillId="3" borderId="12" xfId="0" applyFont="1" applyFill="1" applyBorder="1" applyAlignment="1">
      <alignment horizontal="center" wrapText="1"/>
    </xf>
    <xf numFmtId="0" fontId="24" fillId="3" borderId="13" xfId="0" applyFont="1" applyFill="1" applyBorder="1" applyAlignment="1">
      <alignment horizontal="center" wrapText="1"/>
    </xf>
    <xf numFmtId="0" fontId="14" fillId="3" borderId="11" xfId="0" applyFont="1" applyFill="1" applyBorder="1"/>
    <xf numFmtId="0" fontId="0" fillId="3" borderId="12" xfId="0" applyFill="1" applyBorder="1"/>
    <xf numFmtId="0" fontId="0" fillId="3" borderId="13" xfId="0" applyFill="1" applyBorder="1"/>
    <xf numFmtId="0" fontId="5" fillId="4" borderId="6" xfId="0" applyFont="1" applyFill="1" applyBorder="1" applyAlignment="1">
      <alignment horizontal="center" vertical="center" wrapText="1"/>
    </xf>
    <xf numFmtId="0" fontId="0" fillId="4" borderId="7" xfId="0" applyFill="1" applyBorder="1" applyAlignment="1">
      <alignment horizontal="center" vertical="center" wrapText="1"/>
    </xf>
    <xf numFmtId="0" fontId="0" fillId="4" borderId="8" xfId="0" applyFill="1" applyBorder="1" applyAlignment="1">
      <alignment horizontal="center" vertical="center" wrapText="1"/>
    </xf>
    <xf numFmtId="0" fontId="33" fillId="12" borderId="21" xfId="0" applyFont="1" applyFill="1" applyBorder="1" applyAlignment="1">
      <alignment horizontal="left" vertical="center" wrapText="1"/>
    </xf>
    <xf numFmtId="0" fontId="0" fillId="12" borderId="22" xfId="0" applyFill="1" applyBorder="1" applyAlignment="1">
      <alignment horizontal="left" vertical="center"/>
    </xf>
    <xf numFmtId="0" fontId="0" fillId="12" borderId="23" xfId="0" applyFill="1" applyBorder="1" applyAlignment="1">
      <alignment horizontal="left" vertical="center"/>
    </xf>
    <xf numFmtId="0" fontId="33" fillId="12" borderId="24" xfId="0" applyFont="1" applyFill="1" applyBorder="1" applyAlignment="1">
      <alignment horizontal="left" vertical="center" wrapText="1"/>
    </xf>
    <xf numFmtId="0" fontId="0" fillId="12" borderId="0" xfId="0" applyFill="1" applyAlignment="1">
      <alignment horizontal="left" vertical="center"/>
    </xf>
    <xf numFmtId="0" fontId="0" fillId="12" borderId="25" xfId="0" applyFill="1" applyBorder="1" applyAlignment="1">
      <alignment horizontal="left" vertical="center"/>
    </xf>
    <xf numFmtId="0" fontId="0" fillId="12" borderId="0" xfId="0" applyFill="1" applyAlignment="1">
      <alignment vertical="center"/>
    </xf>
    <xf numFmtId="0" fontId="0" fillId="12" borderId="25" xfId="0" applyFill="1" applyBorder="1" applyAlignment="1">
      <alignment vertical="center"/>
    </xf>
    <xf numFmtId="0" fontId="33" fillId="12" borderId="26" xfId="0" applyFont="1" applyFill="1" applyBorder="1" applyAlignment="1">
      <alignment horizontal="left" vertical="center" wrapText="1"/>
    </xf>
    <xf numFmtId="0" fontId="0" fillId="12" borderId="27" xfId="0" applyFill="1" applyBorder="1" applyAlignment="1">
      <alignment horizontal="left" vertical="center"/>
    </xf>
    <xf numFmtId="0" fontId="0" fillId="12" borderId="28" xfId="0" applyFill="1" applyBorder="1" applyAlignment="1">
      <alignment horizontal="left" vertical="center"/>
    </xf>
    <xf numFmtId="0" fontId="11" fillId="3" borderId="6" xfId="0" applyFont="1" applyFill="1" applyBorder="1" applyAlignment="1">
      <alignment horizontal="center" vertical="center"/>
    </xf>
    <xf numFmtId="0" fontId="11" fillId="3" borderId="7" xfId="0" applyFont="1" applyFill="1" applyBorder="1" applyAlignment="1">
      <alignment horizontal="center" vertical="center"/>
    </xf>
    <xf numFmtId="0" fontId="5" fillId="3" borderId="7" xfId="0" applyFont="1" applyFill="1" applyBorder="1"/>
    <xf numFmtId="0" fontId="12" fillId="4" borderId="11" xfId="0" applyFont="1" applyFill="1" applyBorder="1" applyAlignment="1">
      <alignment horizontal="center" vertical="center"/>
    </xf>
    <xf numFmtId="0" fontId="5" fillId="4" borderId="12" xfId="0" applyFont="1" applyFill="1" applyBorder="1" applyAlignment="1">
      <alignment horizontal="center" vertical="center"/>
    </xf>
    <xf numFmtId="0" fontId="5" fillId="4" borderId="13" xfId="0" applyFont="1" applyFill="1" applyBorder="1" applyAlignment="1">
      <alignment horizontal="center" vertical="center"/>
    </xf>
    <xf numFmtId="0" fontId="11" fillId="3" borderId="11" xfId="0" applyFont="1" applyFill="1" applyBorder="1" applyAlignment="1">
      <alignment horizontal="center" vertical="center"/>
    </xf>
    <xf numFmtId="0" fontId="11" fillId="3" borderId="12" xfId="0" applyFont="1" applyFill="1" applyBorder="1" applyAlignment="1">
      <alignment horizontal="center" vertical="center"/>
    </xf>
    <xf numFmtId="0" fontId="5" fillId="3" borderId="12" xfId="0" applyFont="1" applyFill="1" applyBorder="1"/>
    <xf numFmtId="0" fontId="18" fillId="3" borderId="0" xfId="0" applyFont="1" applyFill="1" applyAlignment="1">
      <alignment vertical="center"/>
    </xf>
    <xf numFmtId="0" fontId="0" fillId="3" borderId="0" xfId="0" applyFill="1" applyAlignment="1">
      <alignment vertical="center"/>
    </xf>
    <xf numFmtId="0" fontId="75" fillId="3" borderId="0" xfId="0" applyFont="1" applyFill="1" applyAlignment="1">
      <alignment vertical="center"/>
    </xf>
    <xf numFmtId="0" fontId="76" fillId="3" borderId="0" xfId="0" applyFont="1" applyFill="1" applyAlignment="1">
      <alignment vertical="center"/>
    </xf>
    <xf numFmtId="0" fontId="56" fillId="0" borderId="0" xfId="0" applyFont="1" applyAlignment="1">
      <alignment vertical="center"/>
    </xf>
    <xf numFmtId="0" fontId="59" fillId="0" borderId="0" xfId="0" applyFont="1" applyAlignment="1">
      <alignment vertical="center"/>
    </xf>
    <xf numFmtId="0" fontId="33" fillId="12" borderId="1" xfId="0" applyFont="1" applyFill="1" applyBorder="1" applyAlignment="1">
      <alignment horizontal="left" vertical="center" wrapText="1"/>
    </xf>
    <xf numFmtId="0" fontId="0" fillId="12" borderId="1" xfId="0" applyFill="1" applyBorder="1" applyAlignment="1">
      <alignment horizontal="left" vertical="center"/>
    </xf>
    <xf numFmtId="0" fontId="2" fillId="0" borderId="0" xfId="0" applyFont="1" applyAlignment="1">
      <alignment horizontal="left" vertical="center" wrapText="1"/>
    </xf>
    <xf numFmtId="0" fontId="50" fillId="4" borderId="14" xfId="0" applyFont="1" applyFill="1" applyBorder="1" applyAlignment="1">
      <alignment horizontal="center" vertical="center" wrapText="1"/>
    </xf>
    <xf numFmtId="0" fontId="49" fillId="4" borderId="16" xfId="0" applyFont="1" applyFill="1" applyBorder="1" applyAlignment="1">
      <alignment horizontal="center" vertical="center"/>
    </xf>
    <xf numFmtId="0" fontId="49" fillId="4" borderId="17" xfId="0" applyFont="1" applyFill="1" applyBorder="1" applyAlignment="1">
      <alignment horizontal="center" vertical="center"/>
    </xf>
    <xf numFmtId="0" fontId="57" fillId="3" borderId="14" xfId="0" applyFont="1" applyFill="1" applyBorder="1" applyAlignment="1">
      <alignment horizontal="center" vertical="center" wrapText="1"/>
    </xf>
    <xf numFmtId="0" fontId="59" fillId="3" borderId="16" xfId="0" applyFont="1" applyFill="1" applyBorder="1" applyAlignment="1">
      <alignment horizontal="center" vertical="center"/>
    </xf>
    <xf numFmtId="0" fontId="59" fillId="3" borderId="17" xfId="0" applyFont="1" applyFill="1" applyBorder="1" applyAlignment="1">
      <alignment horizontal="center" vertical="center"/>
    </xf>
    <xf numFmtId="0" fontId="18" fillId="0" borderId="0" xfId="0" applyFont="1" applyAlignment="1">
      <alignment vertical="center"/>
    </xf>
    <xf numFmtId="0" fontId="0" fillId="0" borderId="0" xfId="0" applyAlignment="1">
      <alignment vertical="center"/>
    </xf>
    <xf numFmtId="0" fontId="6" fillId="0" borderId="0" xfId="0" applyFont="1" applyAlignment="1">
      <alignment horizontal="right" vertical="center"/>
    </xf>
    <xf numFmtId="0" fontId="0" fillId="0" borderId="0" xfId="0" applyAlignment="1">
      <alignment horizontal="right" vertical="center"/>
    </xf>
    <xf numFmtId="0" fontId="23" fillId="0" borderId="0" xfId="0" applyFont="1" applyAlignment="1">
      <alignment horizontal="right" vertical="center"/>
    </xf>
    <xf numFmtId="0" fontId="25" fillId="0" borderId="0" xfId="0" applyFont="1" applyAlignment="1">
      <alignment horizontal="right" vertical="center"/>
    </xf>
    <xf numFmtId="0" fontId="29" fillId="3" borderId="0" xfId="0" applyFont="1" applyFill="1" applyAlignment="1">
      <alignment horizontal="left" vertical="center"/>
    </xf>
    <xf numFmtId="0" fontId="30" fillId="0" borderId="0" xfId="0" applyFont="1" applyAlignment="1">
      <alignment vertical="center"/>
    </xf>
    <xf numFmtId="0" fontId="31" fillId="0" borderId="0" xfId="0" applyFont="1" applyAlignment="1">
      <alignment vertical="center"/>
    </xf>
    <xf numFmtId="0" fontId="7" fillId="3" borderId="3" xfId="0" applyFont="1" applyFill="1" applyBorder="1" applyAlignment="1">
      <alignment horizontal="center" vertical="center" wrapText="1"/>
    </xf>
    <xf numFmtId="0" fontId="7" fillId="3" borderId="4" xfId="0" applyFont="1" applyFill="1" applyBorder="1" applyAlignment="1">
      <alignment horizontal="center" vertical="center" wrapText="1"/>
    </xf>
    <xf numFmtId="0" fontId="8" fillId="3" borderId="4" xfId="0" applyFont="1" applyFill="1" applyBorder="1" applyAlignment="1">
      <alignment horizontal="center" vertical="center" wrapText="1"/>
    </xf>
    <xf numFmtId="0" fontId="8" fillId="3" borderId="5" xfId="0" applyFont="1" applyFill="1" applyBorder="1" applyAlignment="1">
      <alignment horizontal="center" vertical="center" wrapText="1"/>
    </xf>
    <xf numFmtId="0" fontId="18" fillId="3" borderId="0" xfId="0" applyFont="1" applyFill="1"/>
    <xf numFmtId="0" fontId="7" fillId="3" borderId="0" xfId="0" applyFont="1" applyFill="1" applyAlignment="1">
      <alignment horizontal="center" vertical="center" wrapText="1"/>
    </xf>
    <xf numFmtId="0" fontId="7" fillId="3" borderId="0" xfId="0" applyFont="1" applyFill="1" applyAlignment="1">
      <alignment horizontal="center"/>
    </xf>
    <xf numFmtId="0" fontId="8" fillId="3" borderId="0" xfId="0" applyFont="1" applyFill="1" applyAlignment="1">
      <alignment horizontal="center" vertical="center"/>
    </xf>
    <xf numFmtId="0" fontId="2" fillId="3" borderId="0" xfId="0" applyFont="1" applyFill="1" applyAlignment="1">
      <alignment horizontal="center" vertical="center" wrapText="1"/>
    </xf>
    <xf numFmtId="0" fontId="3" fillId="3" borderId="0" xfId="0" applyFont="1" applyFill="1" applyAlignment="1">
      <alignment horizontal="center" vertical="center"/>
    </xf>
    <xf numFmtId="0" fontId="4" fillId="3" borderId="1" xfId="0" applyFont="1" applyFill="1" applyBorder="1" applyAlignment="1">
      <alignment horizontal="center" vertical="center" wrapText="1"/>
    </xf>
    <xf numFmtId="0" fontId="5" fillId="3" borderId="1" xfId="0" applyFont="1" applyFill="1" applyBorder="1" applyAlignment="1">
      <alignment horizontal="center" vertical="center"/>
    </xf>
    <xf numFmtId="0" fontId="4" fillId="8" borderId="6" xfId="0" applyFont="1" applyFill="1" applyBorder="1" applyAlignment="1">
      <alignment horizontal="left" vertical="center"/>
    </xf>
    <xf numFmtId="0" fontId="4" fillId="8" borderId="7" xfId="0" applyFont="1" applyFill="1" applyBorder="1" applyAlignment="1">
      <alignment horizontal="left" vertical="center"/>
    </xf>
    <xf numFmtId="0" fontId="4" fillId="8" borderId="8" xfId="0" applyFont="1" applyFill="1" applyBorder="1" applyAlignment="1">
      <alignment horizontal="left" vertical="center"/>
    </xf>
    <xf numFmtId="0" fontId="4" fillId="8" borderId="9" xfId="0" applyFont="1" applyFill="1" applyBorder="1" applyAlignment="1">
      <alignment horizontal="left" vertical="center"/>
    </xf>
    <xf numFmtId="0" fontId="4" fillId="0" borderId="0" xfId="0" applyFont="1" applyAlignment="1">
      <alignment horizontal="left" vertical="center"/>
    </xf>
    <xf numFmtId="0" fontId="4" fillId="8" borderId="0" xfId="0" applyFont="1" applyFill="1" applyAlignment="1">
      <alignment horizontal="left" vertical="center"/>
    </xf>
    <xf numFmtId="0" fontId="4" fillId="8" borderId="10" xfId="0" applyFont="1" applyFill="1" applyBorder="1" applyAlignment="1">
      <alignment horizontal="left" vertical="center"/>
    </xf>
    <xf numFmtId="0" fontId="5" fillId="0" borderId="0" xfId="0" applyFont="1" applyAlignment="1">
      <alignment vertical="center"/>
    </xf>
    <xf numFmtId="0" fontId="5" fillId="0" borderId="10" xfId="0" applyFont="1" applyBorder="1" applyAlignment="1">
      <alignment vertical="center"/>
    </xf>
    <xf numFmtId="0" fontId="4" fillId="8" borderId="11" xfId="0" applyFont="1" applyFill="1" applyBorder="1" applyAlignment="1">
      <alignment horizontal="left" vertical="center"/>
    </xf>
    <xf numFmtId="0" fontId="5" fillId="0" borderId="12" xfId="0" applyFont="1" applyBorder="1" applyAlignment="1">
      <alignment horizontal="left" vertical="center"/>
    </xf>
    <xf numFmtId="0" fontId="5" fillId="0" borderId="13" xfId="0" applyFont="1" applyBorder="1" applyAlignment="1">
      <alignment horizontal="left" vertical="center"/>
    </xf>
    <xf numFmtId="0" fontId="68" fillId="0" borderId="0" xfId="0" applyFont="1" applyAlignment="1">
      <alignment vertical="center"/>
    </xf>
    <xf numFmtId="0" fontId="11" fillId="10" borderId="14" xfId="0" applyFont="1" applyFill="1" applyBorder="1" applyAlignment="1">
      <alignment horizontal="left" vertical="center"/>
    </xf>
    <xf numFmtId="0" fontId="0" fillId="0" borderId="16" xfId="0" applyBorder="1" applyAlignment="1">
      <alignment vertical="center"/>
    </xf>
    <xf numFmtId="0" fontId="11" fillId="10" borderId="9" xfId="0" applyFont="1" applyFill="1" applyBorder="1" applyAlignment="1">
      <alignment horizontal="left" vertical="center"/>
    </xf>
    <xf numFmtId="0" fontId="0" fillId="0" borderId="10" xfId="0" applyBorder="1" applyAlignment="1">
      <alignment vertical="center"/>
    </xf>
    <xf numFmtId="0" fontId="11" fillId="10" borderId="11" xfId="0" applyFont="1" applyFill="1" applyBorder="1" applyAlignment="1">
      <alignment horizontal="left" vertical="center"/>
    </xf>
    <xf numFmtId="0" fontId="0" fillId="0" borderId="12" xfId="0" applyBorder="1" applyAlignment="1">
      <alignment vertical="center"/>
    </xf>
    <xf numFmtId="0" fontId="0" fillId="0" borderId="13" xfId="0" applyBorder="1" applyAlignment="1">
      <alignment vertical="center"/>
    </xf>
    <xf numFmtId="0" fontId="11" fillId="10" borderId="6" xfId="0" applyFont="1" applyFill="1" applyBorder="1" applyAlignment="1">
      <alignment horizontal="left" vertical="center"/>
    </xf>
    <xf numFmtId="0" fontId="0" fillId="0" borderId="7" xfId="0" applyBorder="1" applyAlignment="1">
      <alignment vertical="center"/>
    </xf>
    <xf numFmtId="0" fontId="0" fillId="0" borderId="8" xfId="0" applyBorder="1" applyAlignment="1">
      <alignment vertical="center"/>
    </xf>
    <xf numFmtId="0" fontId="4" fillId="11" borderId="6" xfId="0" applyFont="1" applyFill="1" applyBorder="1" applyAlignment="1">
      <alignment horizontal="center" vertical="top"/>
    </xf>
    <xf numFmtId="0" fontId="4" fillId="11" borderId="7" xfId="0" applyFont="1" applyFill="1" applyBorder="1" applyAlignment="1">
      <alignment horizontal="center" vertical="top"/>
    </xf>
    <xf numFmtId="0" fontId="4" fillId="11" borderId="8" xfId="0" applyFont="1" applyFill="1" applyBorder="1" applyAlignment="1">
      <alignment horizontal="center" vertical="top"/>
    </xf>
    <xf numFmtId="0" fontId="50" fillId="4" borderId="14" xfId="0" applyFont="1" applyFill="1" applyBorder="1" applyAlignment="1">
      <alignment vertical="center" wrapText="1"/>
    </xf>
    <xf numFmtId="0" fontId="49" fillId="4" borderId="16" xfId="0" applyFont="1" applyFill="1" applyBorder="1" applyAlignment="1">
      <alignment vertical="center"/>
    </xf>
    <xf numFmtId="0" fontId="49" fillId="4" borderId="17" xfId="0" applyFont="1" applyFill="1" applyBorder="1" applyAlignment="1">
      <alignment vertical="center"/>
    </xf>
    <xf numFmtId="0" fontId="57" fillId="3" borderId="9" xfId="0" applyFont="1" applyFill="1" applyBorder="1" applyAlignment="1">
      <alignment horizontal="center" vertical="center"/>
    </xf>
    <xf numFmtId="0" fontId="57" fillId="3" borderId="0" xfId="0" applyFont="1" applyFill="1" applyAlignment="1">
      <alignment horizontal="center" vertical="center"/>
    </xf>
    <xf numFmtId="0" fontId="69" fillId="3" borderId="0" xfId="0" applyFont="1" applyFill="1"/>
    <xf numFmtId="0" fontId="57" fillId="3" borderId="6" xfId="0" applyFont="1" applyFill="1" applyBorder="1" applyAlignment="1">
      <alignment horizontal="center" vertical="center"/>
    </xf>
    <xf numFmtId="0" fontId="57" fillId="3" borderId="7" xfId="0" applyFont="1" applyFill="1" applyBorder="1" applyAlignment="1">
      <alignment horizontal="center" vertical="center"/>
    </xf>
    <xf numFmtId="0" fontId="69" fillId="3" borderId="7" xfId="0" applyFont="1" applyFill="1" applyBorder="1"/>
    <xf numFmtId="0" fontId="4" fillId="11" borderId="0" xfId="0" applyFont="1" applyFill="1" applyAlignment="1">
      <alignment horizontal="center" vertical="center"/>
    </xf>
    <xf numFmtId="0" fontId="0" fillId="11" borderId="0" xfId="0" applyFill="1" applyAlignment="1">
      <alignment vertical="center"/>
    </xf>
    <xf numFmtId="0" fontId="70" fillId="3" borderId="9" xfId="0" applyFont="1" applyFill="1" applyBorder="1" applyAlignment="1">
      <alignment vertical="center" wrapText="1"/>
    </xf>
    <xf numFmtId="0" fontId="71" fillId="0" borderId="0" xfId="0" applyFont="1" applyAlignment="1">
      <alignment vertical="center" wrapText="1"/>
    </xf>
    <xf numFmtId="0" fontId="0" fillId="0" borderId="10" xfId="0" applyBorder="1" applyAlignment="1">
      <alignment vertical="center" wrapText="1"/>
    </xf>
    <xf numFmtId="0" fontId="50" fillId="3" borderId="11" xfId="0" applyFont="1" applyFill="1" applyBorder="1" applyAlignment="1">
      <alignment vertical="center" wrapText="1"/>
    </xf>
    <xf numFmtId="0" fontId="28" fillId="0" borderId="12" xfId="0" applyFont="1" applyBorder="1" applyAlignment="1">
      <alignment vertical="center" wrapText="1"/>
    </xf>
    <xf numFmtId="0" fontId="0" fillId="0" borderId="12" xfId="0" applyBorder="1" applyAlignment="1">
      <alignment vertical="center" wrapText="1"/>
    </xf>
    <xf numFmtId="0" fontId="0" fillId="0" borderId="13" xfId="0" applyBorder="1" applyAlignment="1">
      <alignment vertical="center" wrapText="1"/>
    </xf>
    <xf numFmtId="0" fontId="50" fillId="3" borderId="9" xfId="0" applyFont="1" applyFill="1" applyBorder="1" applyAlignment="1">
      <alignment vertical="center"/>
    </xf>
    <xf numFmtId="0" fontId="28" fillId="0" borderId="0" xfId="0" applyFont="1" applyAlignment="1">
      <alignment vertical="center"/>
    </xf>
    <xf numFmtId="0" fontId="50" fillId="3" borderId="9" xfId="0" applyFont="1" applyFill="1" applyBorder="1" applyAlignment="1">
      <alignment vertical="center" wrapText="1"/>
    </xf>
    <xf numFmtId="0" fontId="28" fillId="0" borderId="0" xfId="0" applyFont="1" applyAlignment="1">
      <alignment vertical="center" wrapText="1"/>
    </xf>
    <xf numFmtId="0" fontId="27" fillId="10" borderId="16" xfId="0" applyFont="1" applyFill="1" applyBorder="1" applyAlignment="1">
      <alignment vertical="center" wrapText="1"/>
    </xf>
    <xf numFmtId="0" fontId="27" fillId="10" borderId="19" xfId="0" applyFont="1" applyFill="1" applyBorder="1" applyAlignment="1">
      <alignment vertical="center" wrapText="1"/>
    </xf>
    <xf numFmtId="0" fontId="26" fillId="10" borderId="14" xfId="0" applyFont="1" applyFill="1" applyBorder="1" applyAlignment="1">
      <alignment horizontal="center" vertical="center" wrapText="1"/>
    </xf>
    <xf numFmtId="0" fontId="25" fillId="10" borderId="16" xfId="0" applyFont="1" applyFill="1" applyBorder="1" applyAlignment="1">
      <alignment horizontal="center" vertical="center" wrapText="1"/>
    </xf>
    <xf numFmtId="0" fontId="26" fillId="10" borderId="16" xfId="0" applyFont="1" applyFill="1" applyBorder="1" applyAlignment="1">
      <alignment horizontal="center" vertical="center" wrapText="1"/>
    </xf>
    <xf numFmtId="0" fontId="37" fillId="3" borderId="9" xfId="0" applyFont="1" applyFill="1" applyBorder="1" applyAlignment="1">
      <alignment vertical="center"/>
    </xf>
    <xf numFmtId="0" fontId="41" fillId="0" borderId="0" xfId="0" applyFont="1" applyAlignment="1">
      <alignment vertical="center"/>
    </xf>
    <xf numFmtId="0" fontId="36" fillId="3" borderId="11" xfId="0" applyFont="1" applyFill="1" applyBorder="1" applyAlignment="1">
      <alignment horizontal="left" vertical="top" wrapText="1"/>
    </xf>
    <xf numFmtId="0" fontId="25" fillId="0" borderId="12" xfId="0" applyFont="1" applyBorder="1" applyAlignment="1">
      <alignment horizontal="left" vertical="top"/>
    </xf>
    <xf numFmtId="0" fontId="28" fillId="10" borderId="16" xfId="0" applyFont="1" applyFill="1" applyBorder="1" applyAlignment="1">
      <alignment vertical="center" wrapText="1"/>
    </xf>
    <xf numFmtId="0" fontId="28" fillId="10" borderId="19" xfId="0" applyFont="1" applyFill="1" applyBorder="1" applyAlignment="1">
      <alignment vertical="center" wrapText="1"/>
    </xf>
    <xf numFmtId="0" fontId="21" fillId="10" borderId="14" xfId="0" applyFont="1" applyFill="1" applyBorder="1" applyAlignment="1">
      <alignment horizontal="center" vertical="center" wrapText="1"/>
    </xf>
    <xf numFmtId="0" fontId="0" fillId="10" borderId="16" xfId="0" applyFill="1" applyBorder="1" applyAlignment="1">
      <alignment horizontal="center" vertical="center" wrapText="1"/>
    </xf>
    <xf numFmtId="0" fontId="21" fillId="10" borderId="16" xfId="0" applyFont="1" applyFill="1" applyBorder="1" applyAlignment="1">
      <alignment horizontal="center" vertical="center" wrapText="1"/>
    </xf>
    <xf numFmtId="0" fontId="57" fillId="0" borderId="16" xfId="0" applyFont="1" applyBorder="1" applyAlignment="1">
      <alignment horizontal="center" vertical="center"/>
    </xf>
    <xf numFmtId="0" fontId="59" fillId="0" borderId="16" xfId="0" applyFont="1" applyBorder="1" applyAlignment="1">
      <alignment horizontal="center" vertical="center"/>
    </xf>
    <xf numFmtId="0" fontId="0" fillId="0" borderId="16" xfId="0" applyBorder="1" applyAlignment="1">
      <alignment horizontal="center" vertical="center"/>
    </xf>
    <xf numFmtId="0" fontId="0" fillId="0" borderId="17" xfId="0" applyBorder="1" applyAlignment="1">
      <alignment horizontal="center" vertical="center"/>
    </xf>
    <xf numFmtId="0" fontId="61" fillId="3" borderId="14" xfId="0" applyFont="1" applyFill="1" applyBorder="1" applyAlignment="1">
      <alignment horizontal="center" vertical="center" wrapText="1"/>
    </xf>
    <xf numFmtId="0" fontId="60" fillId="0" borderId="16" xfId="0" applyFont="1" applyBorder="1" applyAlignment="1">
      <alignment horizontal="center" vertical="center"/>
    </xf>
    <xf numFmtId="0" fontId="59" fillId="0" borderId="16" xfId="0" applyFont="1" applyBorder="1" applyAlignment="1">
      <alignment horizontal="center"/>
    </xf>
    <xf numFmtId="0" fontId="13" fillId="0" borderId="16" xfId="0" applyFont="1" applyBorder="1" applyAlignment="1">
      <alignment horizontal="center"/>
    </xf>
    <xf numFmtId="0" fontId="13" fillId="0" borderId="17" xfId="0" applyFont="1" applyBorder="1" applyAlignment="1">
      <alignment horizontal="center"/>
    </xf>
    <xf numFmtId="0" fontId="56" fillId="3" borderId="6" xfId="0" applyFont="1" applyFill="1" applyBorder="1"/>
    <xf numFmtId="0" fontId="69" fillId="0" borderId="7" xfId="0" applyFont="1" applyBorder="1"/>
    <xf numFmtId="0" fontId="0" fillId="0" borderId="7" xfId="0" applyBorder="1"/>
    <xf numFmtId="0" fontId="0" fillId="0" borderId="8" xfId="0" applyBorder="1"/>
    <xf numFmtId="0" fontId="56" fillId="3" borderId="9" xfId="0" applyFont="1" applyFill="1" applyBorder="1"/>
    <xf numFmtId="0" fontId="69" fillId="0" borderId="0" xfId="0" applyFont="1"/>
    <xf numFmtId="0" fontId="0" fillId="0" borderId="10" xfId="0" applyBorder="1"/>
    <xf numFmtId="0" fontId="50" fillId="10" borderId="11" xfId="0" applyFont="1" applyFill="1" applyBorder="1" applyAlignment="1">
      <alignment horizontal="left" vertical="center" wrapText="1"/>
    </xf>
    <xf numFmtId="0" fontId="48" fillId="3" borderId="11" xfId="0" applyFont="1" applyFill="1" applyBorder="1" applyAlignment="1">
      <alignment vertical="center" wrapText="1"/>
    </xf>
    <xf numFmtId="0" fontId="0" fillId="0" borderId="12" xfId="0" applyBorder="1" applyAlignment="1">
      <alignment wrapText="1"/>
    </xf>
    <xf numFmtId="0" fontId="0" fillId="0" borderId="13" xfId="0" applyBorder="1" applyAlignment="1">
      <alignment wrapText="1"/>
    </xf>
    <xf numFmtId="0" fontId="44" fillId="10" borderId="6" xfId="0" applyFont="1" applyFill="1" applyBorder="1" applyAlignment="1">
      <alignment horizontal="center" vertical="center" wrapText="1"/>
    </xf>
    <xf numFmtId="0" fontId="73" fillId="0" borderId="7" xfId="0" applyFont="1" applyBorder="1" applyAlignment="1">
      <alignment horizontal="center" vertical="center" wrapText="1"/>
    </xf>
    <xf numFmtId="0" fontId="0" fillId="0" borderId="7" xfId="0" applyBorder="1" applyAlignment="1">
      <alignment vertical="center" wrapText="1"/>
    </xf>
    <xf numFmtId="0" fontId="0" fillId="0" borderId="8" xfId="0" applyBorder="1" applyAlignment="1">
      <alignment vertical="center" wrapText="1"/>
    </xf>
    <xf numFmtId="0" fontId="74" fillId="0" borderId="11" xfId="0" applyFont="1" applyBorder="1" applyAlignment="1">
      <alignment horizontal="center" vertical="center" wrapText="1"/>
    </xf>
    <xf numFmtId="0" fontId="74" fillId="0" borderId="12" xfId="0" applyFont="1" applyBorder="1" applyAlignment="1">
      <alignment horizontal="center" vertical="center" wrapText="1"/>
    </xf>
    <xf numFmtId="0" fontId="50" fillId="10" borderId="6" xfId="0" applyFont="1" applyFill="1" applyBorder="1" applyAlignment="1">
      <alignment horizontal="left" vertical="center" wrapText="1"/>
    </xf>
    <xf numFmtId="0" fontId="28" fillId="0" borderId="7" xfId="0" applyFont="1" applyBorder="1" applyAlignment="1">
      <alignment vertical="center" wrapText="1"/>
    </xf>
    <xf numFmtId="0" fontId="50" fillId="10" borderId="9" xfId="0" applyFont="1" applyFill="1" applyBorder="1" applyAlignment="1">
      <alignment horizontal="left" vertical="center" wrapText="1"/>
    </xf>
    <xf numFmtId="0" fontId="28" fillId="0" borderId="10" xfId="0" applyFont="1" applyBorder="1" applyAlignment="1">
      <alignment vertical="center"/>
    </xf>
    <xf numFmtId="0" fontId="0" fillId="0" borderId="17" xfId="0" applyBorder="1" applyAlignment="1">
      <alignment vertical="center"/>
    </xf>
    <xf numFmtId="0" fontId="46" fillId="10" borderId="31" xfId="0" applyFont="1" applyFill="1" applyBorder="1" applyAlignment="1">
      <alignment horizontal="center" vertical="center" wrapText="1"/>
    </xf>
    <xf numFmtId="0" fontId="47" fillId="0" borderId="30" xfId="0" applyFont="1" applyBorder="1" applyAlignment="1">
      <alignment horizontal="center" vertical="center" wrapText="1"/>
    </xf>
    <xf numFmtId="0" fontId="43" fillId="3" borderId="11" xfId="0" applyFont="1" applyFill="1" applyBorder="1" applyAlignment="1">
      <alignment vertical="center"/>
    </xf>
    <xf numFmtId="0" fontId="27" fillId="0" borderId="12" xfId="0" applyFont="1" applyBorder="1" applyAlignment="1">
      <alignment vertical="center"/>
    </xf>
    <xf numFmtId="0" fontId="44" fillId="2" borderId="0" xfId="0" applyFont="1" applyFill="1" applyAlignment="1">
      <alignment horizontal="center" vertical="center" wrapText="1"/>
    </xf>
    <xf numFmtId="0" fontId="45" fillId="2" borderId="0" xfId="0" applyFont="1" applyFill="1" applyAlignment="1">
      <alignment horizontal="center" vertical="center" wrapText="1"/>
    </xf>
    <xf numFmtId="0" fontId="43" fillId="2" borderId="0" xfId="0" applyFont="1" applyFill="1" applyAlignment="1">
      <alignment horizontal="center" vertical="center" wrapText="1"/>
    </xf>
    <xf numFmtId="0" fontId="26" fillId="2" borderId="0" xfId="0" applyFont="1" applyFill="1" applyAlignment="1">
      <alignment horizontal="center" vertical="center" wrapText="1"/>
    </xf>
    <xf numFmtId="0" fontId="57" fillId="3" borderId="11" xfId="0" applyFont="1" applyFill="1" applyBorder="1" applyAlignment="1">
      <alignment horizontal="center" vertical="center"/>
    </xf>
    <xf numFmtId="0" fontId="57" fillId="3" borderId="12" xfId="0" applyFont="1" applyFill="1" applyBorder="1" applyAlignment="1">
      <alignment horizontal="center" vertical="center"/>
    </xf>
    <xf numFmtId="0" fontId="69" fillId="3" borderId="12" xfId="0" applyFont="1" applyFill="1" applyBorder="1"/>
    <xf numFmtId="0" fontId="70" fillId="3" borderId="6" xfId="0" applyFont="1" applyFill="1" applyBorder="1" applyAlignment="1">
      <alignment vertical="center" wrapText="1"/>
    </xf>
    <xf numFmtId="0" fontId="75" fillId="3" borderId="0" xfId="0" applyFont="1" applyFill="1" applyAlignment="1">
      <alignment horizontal="left" vertical="center"/>
    </xf>
    <xf numFmtId="0" fontId="76" fillId="0" borderId="0" xfId="0" applyFont="1" applyAlignment="1">
      <alignment vertical="center"/>
    </xf>
    <xf numFmtId="0" fontId="48" fillId="3" borderId="9" xfId="0" applyFont="1" applyFill="1" applyBorder="1" applyAlignment="1">
      <alignment vertical="center"/>
    </xf>
    <xf numFmtId="0" fontId="48" fillId="3" borderId="9" xfId="0" applyFont="1" applyFill="1" applyBorder="1" applyAlignment="1">
      <alignment vertical="center" wrapText="1"/>
    </xf>
    <xf numFmtId="0" fontId="0" fillId="0" borderId="0" xfId="0" applyAlignment="1">
      <alignment wrapText="1"/>
    </xf>
    <xf numFmtId="0" fontId="0" fillId="0" borderId="10" xfId="0" applyBorder="1" applyAlignment="1">
      <alignment wrapText="1"/>
    </xf>
    <xf numFmtId="0" fontId="21" fillId="10" borderId="14" xfId="0" applyFont="1" applyFill="1" applyBorder="1" applyAlignment="1">
      <alignment vertical="center" wrapText="1"/>
    </xf>
    <xf numFmtId="0" fontId="21" fillId="10" borderId="16" xfId="0" applyFont="1" applyFill="1" applyBorder="1" applyAlignment="1">
      <alignment vertical="center" wrapText="1"/>
    </xf>
    <xf numFmtId="0" fontId="21" fillId="10" borderId="17" xfId="0" applyFont="1" applyFill="1" applyBorder="1" applyAlignment="1">
      <alignment vertical="center" wrapText="1"/>
    </xf>
    <xf numFmtId="0" fontId="0" fillId="10" borderId="12" xfId="0" applyFill="1" applyBorder="1" applyAlignment="1">
      <alignment vertical="center"/>
    </xf>
    <xf numFmtId="0" fontId="0" fillId="10" borderId="13" xfId="0" applyFill="1" applyBorder="1" applyAlignment="1">
      <alignment vertical="center"/>
    </xf>
    <xf numFmtId="0" fontId="0" fillId="10" borderId="0" xfId="0" applyFill="1" applyAlignment="1">
      <alignment vertical="center"/>
    </xf>
    <xf numFmtId="0" fontId="0" fillId="10" borderId="10" xfId="0" applyFill="1" applyBorder="1" applyAlignment="1">
      <alignment vertical="center"/>
    </xf>
    <xf numFmtId="0" fontId="4" fillId="8" borderId="12" xfId="0" applyFont="1" applyFill="1" applyBorder="1" applyAlignment="1">
      <alignment horizontal="left" vertical="center"/>
    </xf>
    <xf numFmtId="0" fontId="42" fillId="10" borderId="14" xfId="0" applyFont="1" applyFill="1" applyBorder="1" applyAlignment="1">
      <alignment horizontal="center" vertical="center" wrapText="1"/>
    </xf>
    <xf numFmtId="0" fontId="0" fillId="0" borderId="16" xfId="0" applyBorder="1" applyAlignment="1">
      <alignment horizontal="center" vertical="center" wrapText="1"/>
    </xf>
    <xf numFmtId="0" fontId="0" fillId="0" borderId="17" xfId="0" applyBorder="1" applyAlignment="1">
      <alignment horizontal="center" vertical="center" wrapText="1"/>
    </xf>
    <xf numFmtId="0" fontId="44" fillId="10" borderId="14" xfId="0" applyFont="1" applyFill="1" applyBorder="1" applyAlignment="1">
      <alignment horizontal="center" vertical="center" wrapText="1"/>
    </xf>
    <xf numFmtId="0" fontId="46" fillId="10" borderId="6" xfId="0" applyFont="1" applyFill="1" applyBorder="1" applyAlignment="1">
      <alignment horizontal="center" vertical="center" wrapText="1"/>
    </xf>
    <xf numFmtId="0" fontId="0" fillId="0" borderId="7" xfId="0" applyBorder="1" applyAlignment="1">
      <alignment horizontal="center" vertical="center" wrapText="1"/>
    </xf>
    <xf numFmtId="0" fontId="0" fillId="0" borderId="8" xfId="0" applyBorder="1" applyAlignment="1">
      <alignment horizontal="center" vertical="center" wrapText="1"/>
    </xf>
    <xf numFmtId="0" fontId="47" fillId="0" borderId="11" xfId="0" applyFont="1"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11" fillId="2" borderId="0" xfId="0" applyFont="1" applyFill="1" applyAlignment="1">
      <alignment horizontal="left" vertical="center"/>
    </xf>
    <xf numFmtId="0" fontId="0" fillId="2" borderId="0" xfId="0" applyFill="1" applyAlignment="1">
      <alignment vertical="center"/>
    </xf>
    <xf numFmtId="0" fontId="0" fillId="10" borderId="7" xfId="0" applyFill="1" applyBorder="1" applyAlignment="1">
      <alignment vertical="center"/>
    </xf>
    <xf numFmtId="0" fontId="0" fillId="10" borderId="8" xfId="0" applyFill="1" applyBorder="1" applyAlignment="1">
      <alignment vertical="center"/>
    </xf>
    <xf numFmtId="0" fontId="18" fillId="8" borderId="6" xfId="0" applyFont="1" applyFill="1" applyBorder="1" applyAlignment="1">
      <alignment vertical="center"/>
    </xf>
    <xf numFmtId="0" fontId="0" fillId="8" borderId="7" xfId="0" applyFill="1" applyBorder="1" applyAlignment="1">
      <alignment vertical="center"/>
    </xf>
    <xf numFmtId="0" fontId="0" fillId="8" borderId="8" xfId="0" applyFill="1" applyBorder="1" applyAlignment="1">
      <alignment vertical="center"/>
    </xf>
    <xf numFmtId="0" fontId="18" fillId="8" borderId="9" xfId="0" applyFont="1" applyFill="1" applyBorder="1" applyAlignment="1">
      <alignment vertical="center"/>
    </xf>
    <xf numFmtId="0" fontId="0" fillId="8" borderId="0" xfId="0" applyFill="1" applyAlignment="1">
      <alignment vertical="center"/>
    </xf>
    <xf numFmtId="0" fontId="0" fillId="8" borderId="10" xfId="0" applyFill="1" applyBorder="1" applyAlignment="1">
      <alignment vertical="center"/>
    </xf>
    <xf numFmtId="167" fontId="6" fillId="0" borderId="0" xfId="0" applyNumberFormat="1" applyFont="1" applyAlignment="1">
      <alignment horizontal="right" vertical="center"/>
    </xf>
    <xf numFmtId="167" fontId="0" fillId="0" borderId="0" xfId="0" applyNumberFormat="1" applyAlignment="1">
      <alignment horizontal="right" vertical="center"/>
    </xf>
    <xf numFmtId="167" fontId="0" fillId="0" borderId="0" xfId="0" applyNumberFormat="1" applyAlignment="1">
      <alignment vertical="center"/>
    </xf>
    <xf numFmtId="0" fontId="26" fillId="3" borderId="14" xfId="0" applyFont="1" applyFill="1" applyBorder="1" applyAlignment="1">
      <alignment horizontal="left" vertical="center"/>
    </xf>
    <xf numFmtId="0" fontId="27" fillId="0" borderId="16" xfId="0" applyFont="1" applyBorder="1" applyAlignment="1">
      <alignment vertical="center"/>
    </xf>
    <xf numFmtId="0" fontId="33" fillId="11" borderId="0" xfId="0" applyFont="1" applyFill="1" applyAlignment="1">
      <alignment horizontal="center" vertical="center"/>
    </xf>
    <xf numFmtId="0" fontId="0" fillId="11" borderId="0" xfId="0" applyFill="1" applyAlignment="1">
      <alignment horizontal="center" vertical="center"/>
    </xf>
    <xf numFmtId="0" fontId="4" fillId="8" borderId="14" xfId="0" applyFont="1" applyFill="1" applyBorder="1" applyAlignment="1">
      <alignment horizontal="left" vertical="center"/>
    </xf>
    <xf numFmtId="0" fontId="4" fillId="8" borderId="16" xfId="0" applyFont="1" applyFill="1" applyBorder="1" applyAlignment="1">
      <alignment horizontal="left" vertical="center"/>
    </xf>
    <xf numFmtId="0" fontId="18" fillId="8" borderId="11" xfId="0" applyFont="1" applyFill="1" applyBorder="1" applyAlignment="1">
      <alignment vertical="center"/>
    </xf>
    <xf numFmtId="0" fontId="0" fillId="8" borderId="12" xfId="0" applyFill="1" applyBorder="1" applyAlignment="1">
      <alignment vertical="center"/>
    </xf>
    <xf numFmtId="0" fontId="0" fillId="8" borderId="13" xfId="0" applyFill="1" applyBorder="1" applyAlignment="1">
      <alignment vertical="center"/>
    </xf>
    <xf numFmtId="0" fontId="2" fillId="2" borderId="0" xfId="0" applyFont="1" applyFill="1" applyAlignment="1">
      <alignment horizontal="center" vertical="center" wrapText="1"/>
    </xf>
    <xf numFmtId="0" fontId="26" fillId="2" borderId="1" xfId="0" applyFont="1" applyFill="1" applyBorder="1" applyAlignment="1">
      <alignment horizontal="left" vertical="center" wrapText="1"/>
    </xf>
    <xf numFmtId="0" fontId="27" fillId="0" borderId="1" xfId="0" applyFont="1" applyBorder="1" applyAlignment="1">
      <alignment horizontal="left" vertical="center"/>
    </xf>
    <xf numFmtId="0" fontId="21" fillId="10" borderId="20" xfId="0" applyFont="1" applyFill="1" applyBorder="1" applyAlignment="1">
      <alignment vertical="center" wrapText="1"/>
    </xf>
    <xf numFmtId="0" fontId="57" fillId="10" borderId="1" xfId="0" applyFont="1" applyFill="1" applyBorder="1" applyAlignment="1">
      <alignment horizontal="center" vertical="center" wrapText="1"/>
    </xf>
    <xf numFmtId="0" fontId="56" fillId="10" borderId="1" xfId="0" applyFont="1" applyFill="1" applyBorder="1" applyAlignment="1">
      <alignment horizontal="center" vertical="center" wrapText="1"/>
    </xf>
  </cellXfs>
  <cellStyles count="1">
    <cellStyle name="Normal" xfId="0" builtinId="0"/>
  </cellStyles>
  <dxfs count="60">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1" Type="http://schemas.openxmlformats.org/officeDocument/2006/relationships/image" Target="../media/image13.png"/></Relationships>
</file>

<file path=xl/drawings/_rels/drawing3.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11.png"/><Relationship Id="rId1" Type="http://schemas.openxmlformats.org/officeDocument/2006/relationships/image" Target="../media/image10.png"/></Relationships>
</file>

<file path=xl/drawings/_rels/vmlDrawing3.vml.rels><?xml version="1.0" encoding="UTF-8" standalone="yes"?>
<Relationships xmlns="http://schemas.openxmlformats.org/package/2006/relationships"><Relationship Id="rId3" Type="http://schemas.openxmlformats.org/officeDocument/2006/relationships/image" Target="../media/image16.jpeg"/><Relationship Id="rId2" Type="http://schemas.openxmlformats.org/officeDocument/2006/relationships/image" Target="../media/image15.jpeg"/><Relationship Id="rId1" Type="http://schemas.openxmlformats.org/officeDocument/2006/relationships/image" Target="../media/image14.jpeg"/></Relationships>
</file>

<file path=xl/drawings/_rels/vmlDrawing5.v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11.png"/><Relationship Id="rId1"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57150</xdr:colOff>
          <xdr:row>0</xdr:row>
          <xdr:rowOff>781050</xdr:rowOff>
        </xdr:from>
        <xdr:to>
          <xdr:col>23</xdr:col>
          <xdr:colOff>2676525</xdr:colOff>
          <xdr:row>1</xdr:row>
          <xdr:rowOff>38100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0" i="0" u="none" strike="noStrike" baseline="0">
                  <a:solidFill>
                    <a:srgbClr val="FF0000"/>
                  </a:solidFill>
                  <a:latin typeface="Calibri"/>
                  <a:ea typeface="Calibri"/>
                  <a:cs typeface="Calibri"/>
                </a:rPr>
                <a:t>SWITCH TO SINGLE ITEM QUOTE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95250</xdr:colOff>
          <xdr:row>2</xdr:row>
          <xdr:rowOff>114300</xdr:rowOff>
        </xdr:from>
        <xdr:to>
          <xdr:col>23</xdr:col>
          <xdr:colOff>2705100</xdr:colOff>
          <xdr:row>4</xdr:row>
          <xdr:rowOff>66675</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0" i="0" u="none" strike="noStrike" baseline="0">
                  <a:solidFill>
                    <a:srgbClr val="FF0000"/>
                  </a:solidFill>
                  <a:latin typeface="Calibri"/>
                  <a:ea typeface="Calibri"/>
                  <a:cs typeface="Calibri"/>
                </a:rPr>
                <a:t>SWITCH TO 5 ITEM QUOTE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180975</xdr:colOff>
          <xdr:row>0</xdr:row>
          <xdr:rowOff>781050</xdr:rowOff>
        </xdr:from>
        <xdr:to>
          <xdr:col>26</xdr:col>
          <xdr:colOff>85725</xdr:colOff>
          <xdr:row>1</xdr:row>
          <xdr:rowOff>38100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0" i="0" u="none" strike="noStrike" baseline="0">
                  <a:solidFill>
                    <a:srgbClr val="0066CC"/>
                  </a:solidFill>
                  <a:latin typeface="Calibri"/>
                  <a:ea typeface="Calibri"/>
                  <a:cs typeface="Calibri"/>
                </a:rPr>
                <a:t>COPY INFO TO SUPPLIER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123825</xdr:colOff>
          <xdr:row>5</xdr:row>
          <xdr:rowOff>171450</xdr:rowOff>
        </xdr:from>
        <xdr:to>
          <xdr:col>24</xdr:col>
          <xdr:colOff>0</xdr:colOff>
          <xdr:row>7</xdr:row>
          <xdr:rowOff>333375</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0" i="0" u="none" strike="noStrike" baseline="0">
                  <a:solidFill>
                    <a:srgbClr val="FF0000"/>
                  </a:solidFill>
                  <a:latin typeface="Calibri"/>
                  <a:ea typeface="Calibri"/>
                  <a:cs typeface="Calibri"/>
                </a:rPr>
                <a:t>SWITCH TO 10 ITEM QUOTE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133350</xdr:colOff>
          <xdr:row>0</xdr:row>
          <xdr:rowOff>762000</xdr:rowOff>
        </xdr:from>
        <xdr:to>
          <xdr:col>27</xdr:col>
          <xdr:colOff>2324100</xdr:colOff>
          <xdr:row>1</xdr:row>
          <xdr:rowOff>28575</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0" i="0" u="none" strike="noStrike" baseline="0">
                  <a:solidFill>
                    <a:srgbClr val="993366"/>
                  </a:solidFill>
                  <a:latin typeface="Calibri"/>
                  <a:ea typeface="Calibri"/>
                  <a:cs typeface="Calibri"/>
                </a:rPr>
                <a:t>HIDE OC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171450</xdr:colOff>
          <xdr:row>2</xdr:row>
          <xdr:rowOff>85725</xdr:rowOff>
        </xdr:from>
        <xdr:to>
          <xdr:col>27</xdr:col>
          <xdr:colOff>2324100</xdr:colOff>
          <xdr:row>4</xdr:row>
          <xdr:rowOff>85725</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0" i="0" u="none" strike="noStrike" baseline="0">
                  <a:solidFill>
                    <a:srgbClr val="993366"/>
                  </a:solidFill>
                  <a:latin typeface="Calibri"/>
                  <a:ea typeface="Calibri"/>
                  <a:cs typeface="Calibri"/>
                </a:rPr>
                <a:t>UNHIDE OC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219075</xdr:colOff>
          <xdr:row>5</xdr:row>
          <xdr:rowOff>171450</xdr:rowOff>
        </xdr:from>
        <xdr:to>
          <xdr:col>27</xdr:col>
          <xdr:colOff>2324100</xdr:colOff>
          <xdr:row>7</xdr:row>
          <xdr:rowOff>333375</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0" i="0" u="none" strike="noStrike" baseline="0">
                  <a:solidFill>
                    <a:srgbClr val="993366"/>
                  </a:solidFill>
                  <a:latin typeface="Calibri"/>
                  <a:ea typeface="Calibri"/>
                  <a:cs typeface="Calibri"/>
                </a:rPr>
                <a:t>COPY IMAGES TO ORDER CONFIRMATION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180975</xdr:colOff>
          <xdr:row>12</xdr:row>
          <xdr:rowOff>114300</xdr:rowOff>
        </xdr:from>
        <xdr:to>
          <xdr:col>24</xdr:col>
          <xdr:colOff>38100</xdr:colOff>
          <xdr:row>15</xdr:row>
          <xdr:rowOff>95250</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0" i="0" u="none" strike="noStrike" baseline="0">
                  <a:solidFill>
                    <a:srgbClr val="FF0000"/>
                  </a:solidFill>
                  <a:latin typeface="Calibri"/>
                  <a:ea typeface="Calibri"/>
                  <a:cs typeface="Calibri"/>
                </a:rPr>
                <a:t>SWITCH TO 20 ITEM QUOTE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228600</xdr:colOff>
          <xdr:row>2</xdr:row>
          <xdr:rowOff>152400</xdr:rowOff>
        </xdr:from>
        <xdr:to>
          <xdr:col>26</xdr:col>
          <xdr:colOff>133350</xdr:colOff>
          <xdr:row>4</xdr:row>
          <xdr:rowOff>180975</xdr:rowOff>
        </xdr:to>
        <xdr:sp macro="" textlink="">
          <xdr:nvSpPr>
            <xdr:cNvPr id="1047" name="Button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0" i="0" u="none" strike="noStrike" baseline="0">
                  <a:solidFill>
                    <a:srgbClr val="0066CC"/>
                  </a:solidFill>
                  <a:latin typeface="Calibri"/>
                  <a:ea typeface="Calibri"/>
                  <a:cs typeface="Calibri"/>
                </a:rPr>
                <a:t>HIDE SUPPLIER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276225</xdr:colOff>
          <xdr:row>5</xdr:row>
          <xdr:rowOff>190500</xdr:rowOff>
        </xdr:from>
        <xdr:to>
          <xdr:col>26</xdr:col>
          <xdr:colOff>171450</xdr:colOff>
          <xdr:row>8</xdr:row>
          <xdr:rowOff>38100</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0" i="0" u="none" strike="noStrike" baseline="0">
                  <a:solidFill>
                    <a:srgbClr val="0066CC"/>
                  </a:solidFill>
                  <a:latin typeface="Calibri"/>
                  <a:ea typeface="Calibri"/>
                  <a:cs typeface="Calibri"/>
                </a:rPr>
                <a:t>UNHIDE SUPPLIER SCHEDULE</a:t>
              </a:r>
            </a:p>
          </xdr:txBody>
        </xdr:sp>
        <xdr:clientData fPrintsWithSheet="0"/>
      </xdr:twoCellAnchor>
    </mc:Choice>
    <mc:Fallback/>
  </mc:AlternateContent>
  <xdr:twoCellAnchor editAs="oneCell">
    <xdr:from>
      <xdr:col>0</xdr:col>
      <xdr:colOff>309561</xdr:colOff>
      <xdr:row>0</xdr:row>
      <xdr:rowOff>142875</xdr:rowOff>
    </xdr:from>
    <xdr:to>
      <xdr:col>2</xdr:col>
      <xdr:colOff>137158</xdr:colOff>
      <xdr:row>0</xdr:row>
      <xdr:rowOff>2075658</xdr:rowOff>
    </xdr:to>
    <xdr:pic>
      <xdr:nvPicPr>
        <xdr:cNvPr id="7" name="Graphic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09561" y="142875"/>
          <a:ext cx="3952875" cy="1944213"/>
        </a:xfrm>
        <a:prstGeom prst="rect">
          <a:avLst/>
        </a:prstGeom>
      </xdr:spPr>
    </xdr:pic>
    <xdr:clientData/>
  </xdr:twoCellAnchor>
  <xdr:twoCellAnchor editAs="oneCell">
    <xdr:from>
      <xdr:col>20</xdr:col>
      <xdr:colOff>2825750</xdr:colOff>
      <xdr:row>27</xdr:row>
      <xdr:rowOff>317500</xdr:rowOff>
    </xdr:from>
    <xdr:to>
      <xdr:col>20</xdr:col>
      <xdr:colOff>3596729</xdr:colOff>
      <xdr:row>27</xdr:row>
      <xdr:rowOff>2759879</xdr:rowOff>
    </xdr:to>
    <xdr:pic>
      <xdr:nvPicPr>
        <xdr:cNvPr id="11" name="Picture 10">
          <a:extLst>
            <a:ext uri="{FF2B5EF4-FFF2-40B4-BE49-F238E27FC236}">
              <a16:creationId xmlns:a16="http://schemas.microsoft.com/office/drawing/2014/main" id="{CD865E9E-6316-6C09-9468-FE7FD2BCA63F}"/>
            </a:ext>
          </a:extLst>
        </xdr:cNvPr>
        <xdr:cNvPicPr>
          <a:picLocks noChangeAspect="1"/>
        </xdr:cNvPicPr>
      </xdr:nvPicPr>
      <xdr:blipFill>
        <a:blip xmlns:r="http://schemas.openxmlformats.org/officeDocument/2006/relationships" r:embed="rId3"/>
        <a:stretch>
          <a:fillRect/>
        </a:stretch>
      </xdr:blipFill>
      <xdr:spPr>
        <a:xfrm>
          <a:off x="35274250" y="30607000"/>
          <a:ext cx="765264" cy="2432854"/>
        </a:xfrm>
        <a:prstGeom prst="rect">
          <a:avLst/>
        </a:prstGeom>
      </xdr:spPr>
    </xdr:pic>
    <xdr:clientData/>
  </xdr:twoCellAnchor>
  <xdr:twoCellAnchor editAs="oneCell">
    <xdr:from>
      <xdr:col>20</xdr:col>
      <xdr:colOff>1905000</xdr:colOff>
      <xdr:row>29</xdr:row>
      <xdr:rowOff>254000</xdr:rowOff>
    </xdr:from>
    <xdr:to>
      <xdr:col>20</xdr:col>
      <xdr:colOff>4781116</xdr:colOff>
      <xdr:row>29</xdr:row>
      <xdr:rowOff>2835275</xdr:rowOff>
    </xdr:to>
    <xdr:pic>
      <xdr:nvPicPr>
        <xdr:cNvPr id="14" name="Picture 13">
          <a:extLst>
            <a:ext uri="{FF2B5EF4-FFF2-40B4-BE49-F238E27FC236}">
              <a16:creationId xmlns:a16="http://schemas.microsoft.com/office/drawing/2014/main" id="{B130A17B-3742-1B60-BC34-74CD5E0B8948}"/>
            </a:ext>
          </a:extLst>
        </xdr:cNvPr>
        <xdr:cNvPicPr>
          <a:picLocks noChangeAspect="1"/>
        </xdr:cNvPicPr>
      </xdr:nvPicPr>
      <xdr:blipFill>
        <a:blip xmlns:r="http://schemas.openxmlformats.org/officeDocument/2006/relationships" r:embed="rId4"/>
        <a:stretch>
          <a:fillRect/>
        </a:stretch>
      </xdr:blipFill>
      <xdr:spPr>
        <a:xfrm>
          <a:off x="34353500" y="36703000"/>
          <a:ext cx="2887546" cy="2571750"/>
        </a:xfrm>
        <a:prstGeom prst="rect">
          <a:avLst/>
        </a:prstGeom>
      </xdr:spPr>
    </xdr:pic>
    <xdr:clientData/>
  </xdr:twoCellAnchor>
  <xdr:twoCellAnchor editAs="oneCell">
    <xdr:from>
      <xdr:col>20</xdr:col>
      <xdr:colOff>3016250</xdr:colOff>
      <xdr:row>35</xdr:row>
      <xdr:rowOff>381000</xdr:rowOff>
    </xdr:from>
    <xdr:to>
      <xdr:col>20</xdr:col>
      <xdr:colOff>3787229</xdr:colOff>
      <xdr:row>35</xdr:row>
      <xdr:rowOff>2798614</xdr:rowOff>
    </xdr:to>
    <xdr:pic>
      <xdr:nvPicPr>
        <xdr:cNvPr id="20" name="Picture 19">
          <a:extLst>
            <a:ext uri="{FF2B5EF4-FFF2-40B4-BE49-F238E27FC236}">
              <a16:creationId xmlns:a16="http://schemas.microsoft.com/office/drawing/2014/main" id="{2969874B-41DA-486B-9C4D-76BC7DA6A078}"/>
            </a:ext>
          </a:extLst>
        </xdr:cNvPr>
        <xdr:cNvPicPr>
          <a:picLocks noChangeAspect="1"/>
        </xdr:cNvPicPr>
      </xdr:nvPicPr>
      <xdr:blipFill>
        <a:blip xmlns:r="http://schemas.openxmlformats.org/officeDocument/2006/relationships" r:embed="rId3"/>
        <a:stretch>
          <a:fillRect/>
        </a:stretch>
      </xdr:blipFill>
      <xdr:spPr>
        <a:xfrm>
          <a:off x="35464750" y="55308500"/>
          <a:ext cx="765264" cy="2432854"/>
        </a:xfrm>
        <a:prstGeom prst="rect">
          <a:avLst/>
        </a:prstGeom>
      </xdr:spPr>
    </xdr:pic>
    <xdr:clientData/>
  </xdr:twoCellAnchor>
  <xdr:twoCellAnchor editAs="oneCell">
    <xdr:from>
      <xdr:col>20</xdr:col>
      <xdr:colOff>1206500</xdr:colOff>
      <xdr:row>38</xdr:row>
      <xdr:rowOff>539750</xdr:rowOff>
    </xdr:from>
    <xdr:to>
      <xdr:col>20</xdr:col>
      <xdr:colOff>5389880</xdr:colOff>
      <xdr:row>38</xdr:row>
      <xdr:rowOff>2498725</xdr:rowOff>
    </xdr:to>
    <xdr:pic>
      <xdr:nvPicPr>
        <xdr:cNvPr id="24" name="Picture 23">
          <a:extLst>
            <a:ext uri="{FF2B5EF4-FFF2-40B4-BE49-F238E27FC236}">
              <a16:creationId xmlns:a16="http://schemas.microsoft.com/office/drawing/2014/main" id="{60FD9338-B0DC-4FA7-91B3-D9D1AD6CC88A}"/>
            </a:ext>
          </a:extLst>
        </xdr:cNvPr>
        <xdr:cNvPicPr>
          <a:picLocks noChangeAspect="1"/>
        </xdr:cNvPicPr>
      </xdr:nvPicPr>
      <xdr:blipFill>
        <a:blip xmlns:r="http://schemas.openxmlformats.org/officeDocument/2006/relationships" r:embed="rId5"/>
        <a:stretch>
          <a:fillRect/>
        </a:stretch>
      </xdr:blipFill>
      <xdr:spPr>
        <a:xfrm>
          <a:off x="33655000" y="64706500"/>
          <a:ext cx="4191000" cy="1968500"/>
        </a:xfrm>
        <a:prstGeom prst="rect">
          <a:avLst/>
        </a:prstGeom>
      </xdr:spPr>
    </xdr:pic>
    <xdr:clientData/>
  </xdr:twoCellAnchor>
  <xdr:twoCellAnchor editAs="oneCell">
    <xdr:from>
      <xdr:col>20</xdr:col>
      <xdr:colOff>1841500</xdr:colOff>
      <xdr:row>21</xdr:row>
      <xdr:rowOff>730250</xdr:rowOff>
    </xdr:from>
    <xdr:to>
      <xdr:col>20</xdr:col>
      <xdr:colOff>4318346</xdr:colOff>
      <xdr:row>21</xdr:row>
      <xdr:rowOff>2416410</xdr:rowOff>
    </xdr:to>
    <xdr:pic>
      <xdr:nvPicPr>
        <xdr:cNvPr id="2" name="Picture 1">
          <a:extLst>
            <a:ext uri="{FF2B5EF4-FFF2-40B4-BE49-F238E27FC236}">
              <a16:creationId xmlns:a16="http://schemas.microsoft.com/office/drawing/2014/main" id="{91DDD17F-6618-F8AA-59B1-BDABE9C88406}"/>
            </a:ext>
          </a:extLst>
        </xdr:cNvPr>
        <xdr:cNvPicPr>
          <a:picLocks noChangeAspect="1"/>
        </xdr:cNvPicPr>
      </xdr:nvPicPr>
      <xdr:blipFill>
        <a:blip xmlns:r="http://schemas.openxmlformats.org/officeDocument/2006/relationships" r:embed="rId6"/>
        <a:stretch>
          <a:fillRect/>
        </a:stretch>
      </xdr:blipFill>
      <xdr:spPr>
        <a:xfrm>
          <a:off x="56959500" y="12573000"/>
          <a:ext cx="2476846" cy="1686160"/>
        </a:xfrm>
        <a:prstGeom prst="rect">
          <a:avLst/>
        </a:prstGeom>
      </xdr:spPr>
    </xdr:pic>
    <xdr:clientData/>
  </xdr:twoCellAnchor>
  <xdr:twoCellAnchor editAs="oneCell">
    <xdr:from>
      <xdr:col>20</xdr:col>
      <xdr:colOff>1905000</xdr:colOff>
      <xdr:row>23</xdr:row>
      <xdr:rowOff>666750</xdr:rowOff>
    </xdr:from>
    <xdr:to>
      <xdr:col>20</xdr:col>
      <xdr:colOff>4381846</xdr:colOff>
      <xdr:row>23</xdr:row>
      <xdr:rowOff>2352910</xdr:rowOff>
    </xdr:to>
    <xdr:pic>
      <xdr:nvPicPr>
        <xdr:cNvPr id="10" name="Picture 9">
          <a:extLst>
            <a:ext uri="{FF2B5EF4-FFF2-40B4-BE49-F238E27FC236}">
              <a16:creationId xmlns:a16="http://schemas.microsoft.com/office/drawing/2014/main" id="{7A438960-EE15-510B-A156-DDF5C4C5BFD4}"/>
            </a:ext>
          </a:extLst>
        </xdr:cNvPr>
        <xdr:cNvPicPr>
          <a:picLocks noChangeAspect="1"/>
        </xdr:cNvPicPr>
      </xdr:nvPicPr>
      <xdr:blipFill>
        <a:blip xmlns:r="http://schemas.openxmlformats.org/officeDocument/2006/relationships" r:embed="rId6"/>
        <a:stretch>
          <a:fillRect/>
        </a:stretch>
      </xdr:blipFill>
      <xdr:spPr>
        <a:xfrm>
          <a:off x="57023000" y="18669000"/>
          <a:ext cx="2476846" cy="1686160"/>
        </a:xfrm>
        <a:prstGeom prst="rect">
          <a:avLst/>
        </a:prstGeom>
      </xdr:spPr>
    </xdr:pic>
    <xdr:clientData/>
  </xdr:twoCellAnchor>
  <xdr:twoCellAnchor editAs="oneCell">
    <xdr:from>
      <xdr:col>20</xdr:col>
      <xdr:colOff>2025650</xdr:colOff>
      <xdr:row>24</xdr:row>
      <xdr:rowOff>660400</xdr:rowOff>
    </xdr:from>
    <xdr:to>
      <xdr:col>20</xdr:col>
      <xdr:colOff>4502496</xdr:colOff>
      <xdr:row>24</xdr:row>
      <xdr:rowOff>2346560</xdr:rowOff>
    </xdr:to>
    <xdr:pic>
      <xdr:nvPicPr>
        <xdr:cNvPr id="13" name="Picture 12">
          <a:extLst>
            <a:ext uri="{FF2B5EF4-FFF2-40B4-BE49-F238E27FC236}">
              <a16:creationId xmlns:a16="http://schemas.microsoft.com/office/drawing/2014/main" id="{5C7848A2-F7E3-7C07-168C-C9E0B8A8D2CC}"/>
            </a:ext>
          </a:extLst>
        </xdr:cNvPr>
        <xdr:cNvPicPr>
          <a:picLocks noChangeAspect="1"/>
        </xdr:cNvPicPr>
      </xdr:nvPicPr>
      <xdr:blipFill>
        <a:blip xmlns:r="http://schemas.openxmlformats.org/officeDocument/2006/relationships" r:embed="rId6"/>
        <a:stretch>
          <a:fillRect/>
        </a:stretch>
      </xdr:blipFill>
      <xdr:spPr>
        <a:xfrm>
          <a:off x="57143650" y="21742400"/>
          <a:ext cx="2476846" cy="1686160"/>
        </a:xfrm>
        <a:prstGeom prst="rect">
          <a:avLst/>
        </a:prstGeom>
      </xdr:spPr>
    </xdr:pic>
    <xdr:clientData/>
  </xdr:twoCellAnchor>
  <xdr:twoCellAnchor editAs="oneCell">
    <xdr:from>
      <xdr:col>20</xdr:col>
      <xdr:colOff>2000250</xdr:colOff>
      <xdr:row>26</xdr:row>
      <xdr:rowOff>571500</xdr:rowOff>
    </xdr:from>
    <xdr:to>
      <xdr:col>20</xdr:col>
      <xdr:colOff>4477096</xdr:colOff>
      <xdr:row>26</xdr:row>
      <xdr:rowOff>2257660</xdr:rowOff>
    </xdr:to>
    <xdr:pic>
      <xdr:nvPicPr>
        <xdr:cNvPr id="23" name="Picture 22">
          <a:extLst>
            <a:ext uri="{FF2B5EF4-FFF2-40B4-BE49-F238E27FC236}">
              <a16:creationId xmlns:a16="http://schemas.microsoft.com/office/drawing/2014/main" id="{185B8B11-9B62-5FEA-D747-C5249ACA6213}"/>
            </a:ext>
          </a:extLst>
        </xdr:cNvPr>
        <xdr:cNvPicPr>
          <a:picLocks noChangeAspect="1"/>
        </xdr:cNvPicPr>
      </xdr:nvPicPr>
      <xdr:blipFill>
        <a:blip xmlns:r="http://schemas.openxmlformats.org/officeDocument/2006/relationships" r:embed="rId6"/>
        <a:stretch>
          <a:fillRect/>
        </a:stretch>
      </xdr:blipFill>
      <xdr:spPr>
        <a:xfrm>
          <a:off x="57118250" y="27813000"/>
          <a:ext cx="2476846" cy="1686160"/>
        </a:xfrm>
        <a:prstGeom prst="rect">
          <a:avLst/>
        </a:prstGeom>
      </xdr:spPr>
    </xdr:pic>
    <xdr:clientData/>
  </xdr:twoCellAnchor>
  <xdr:twoCellAnchor editAs="oneCell">
    <xdr:from>
      <xdr:col>20</xdr:col>
      <xdr:colOff>2286000</xdr:colOff>
      <xdr:row>25</xdr:row>
      <xdr:rowOff>635000</xdr:rowOff>
    </xdr:from>
    <xdr:to>
      <xdr:col>20</xdr:col>
      <xdr:colOff>4134108</xdr:colOff>
      <xdr:row>25</xdr:row>
      <xdr:rowOff>2292581</xdr:rowOff>
    </xdr:to>
    <xdr:pic>
      <xdr:nvPicPr>
        <xdr:cNvPr id="25" name="Picture 24">
          <a:extLst>
            <a:ext uri="{FF2B5EF4-FFF2-40B4-BE49-F238E27FC236}">
              <a16:creationId xmlns:a16="http://schemas.microsoft.com/office/drawing/2014/main" id="{2668F176-D95D-AB6C-CA34-CE5C41785631}"/>
            </a:ext>
          </a:extLst>
        </xdr:cNvPr>
        <xdr:cNvPicPr>
          <a:picLocks noChangeAspect="1"/>
        </xdr:cNvPicPr>
      </xdr:nvPicPr>
      <xdr:blipFill>
        <a:blip xmlns:r="http://schemas.openxmlformats.org/officeDocument/2006/relationships" r:embed="rId7"/>
        <a:stretch>
          <a:fillRect/>
        </a:stretch>
      </xdr:blipFill>
      <xdr:spPr>
        <a:xfrm>
          <a:off x="57404000" y="24796750"/>
          <a:ext cx="1848108" cy="1657581"/>
        </a:xfrm>
        <a:prstGeom prst="rect">
          <a:avLst/>
        </a:prstGeom>
      </xdr:spPr>
    </xdr:pic>
    <xdr:clientData/>
  </xdr:twoCellAnchor>
  <xdr:twoCellAnchor editAs="oneCell">
    <xdr:from>
      <xdr:col>20</xdr:col>
      <xdr:colOff>2413000</xdr:colOff>
      <xdr:row>31</xdr:row>
      <xdr:rowOff>730250</xdr:rowOff>
    </xdr:from>
    <xdr:to>
      <xdr:col>20</xdr:col>
      <xdr:colOff>4261108</xdr:colOff>
      <xdr:row>31</xdr:row>
      <xdr:rowOff>2387831</xdr:rowOff>
    </xdr:to>
    <xdr:pic>
      <xdr:nvPicPr>
        <xdr:cNvPr id="26" name="Picture 25">
          <a:extLst>
            <a:ext uri="{FF2B5EF4-FFF2-40B4-BE49-F238E27FC236}">
              <a16:creationId xmlns:a16="http://schemas.microsoft.com/office/drawing/2014/main" id="{B5435A4B-2345-594C-39D9-37285BBE52C7}"/>
            </a:ext>
          </a:extLst>
        </xdr:cNvPr>
        <xdr:cNvPicPr>
          <a:picLocks noChangeAspect="1"/>
        </xdr:cNvPicPr>
      </xdr:nvPicPr>
      <xdr:blipFill>
        <a:blip xmlns:r="http://schemas.openxmlformats.org/officeDocument/2006/relationships" r:embed="rId7"/>
        <a:stretch>
          <a:fillRect/>
        </a:stretch>
      </xdr:blipFill>
      <xdr:spPr>
        <a:xfrm>
          <a:off x="57531000" y="43370500"/>
          <a:ext cx="1848108" cy="1657581"/>
        </a:xfrm>
        <a:prstGeom prst="rect">
          <a:avLst/>
        </a:prstGeom>
      </xdr:spPr>
    </xdr:pic>
    <xdr:clientData/>
  </xdr:twoCellAnchor>
  <xdr:twoCellAnchor editAs="oneCell">
    <xdr:from>
      <xdr:col>20</xdr:col>
      <xdr:colOff>2444750</xdr:colOff>
      <xdr:row>32</xdr:row>
      <xdr:rowOff>603250</xdr:rowOff>
    </xdr:from>
    <xdr:to>
      <xdr:col>20</xdr:col>
      <xdr:colOff>4292858</xdr:colOff>
      <xdr:row>32</xdr:row>
      <xdr:rowOff>2260831</xdr:rowOff>
    </xdr:to>
    <xdr:pic>
      <xdr:nvPicPr>
        <xdr:cNvPr id="27" name="Picture 26">
          <a:extLst>
            <a:ext uri="{FF2B5EF4-FFF2-40B4-BE49-F238E27FC236}">
              <a16:creationId xmlns:a16="http://schemas.microsoft.com/office/drawing/2014/main" id="{D28259A1-2B4D-F852-1A04-189AF3D8BFF1}"/>
            </a:ext>
          </a:extLst>
        </xdr:cNvPr>
        <xdr:cNvPicPr>
          <a:picLocks noChangeAspect="1"/>
        </xdr:cNvPicPr>
      </xdr:nvPicPr>
      <xdr:blipFill>
        <a:blip xmlns:r="http://schemas.openxmlformats.org/officeDocument/2006/relationships" r:embed="rId7"/>
        <a:stretch>
          <a:fillRect/>
        </a:stretch>
      </xdr:blipFill>
      <xdr:spPr>
        <a:xfrm>
          <a:off x="57562750" y="46323250"/>
          <a:ext cx="1848108" cy="1657581"/>
        </a:xfrm>
        <a:prstGeom prst="rect">
          <a:avLst/>
        </a:prstGeom>
      </xdr:spPr>
    </xdr:pic>
    <xdr:clientData/>
  </xdr:twoCellAnchor>
  <xdr:twoCellAnchor editAs="oneCell">
    <xdr:from>
      <xdr:col>20</xdr:col>
      <xdr:colOff>2343150</xdr:colOff>
      <xdr:row>33</xdr:row>
      <xdr:rowOff>628650</xdr:rowOff>
    </xdr:from>
    <xdr:to>
      <xdr:col>20</xdr:col>
      <xdr:colOff>4191258</xdr:colOff>
      <xdr:row>33</xdr:row>
      <xdr:rowOff>2286231</xdr:rowOff>
    </xdr:to>
    <xdr:pic>
      <xdr:nvPicPr>
        <xdr:cNvPr id="28" name="Picture 27">
          <a:extLst>
            <a:ext uri="{FF2B5EF4-FFF2-40B4-BE49-F238E27FC236}">
              <a16:creationId xmlns:a16="http://schemas.microsoft.com/office/drawing/2014/main" id="{FD61BBBF-4874-834D-0628-5893229307D9}"/>
            </a:ext>
          </a:extLst>
        </xdr:cNvPr>
        <xdr:cNvPicPr>
          <a:picLocks noChangeAspect="1"/>
        </xdr:cNvPicPr>
      </xdr:nvPicPr>
      <xdr:blipFill>
        <a:blip xmlns:r="http://schemas.openxmlformats.org/officeDocument/2006/relationships" r:embed="rId7"/>
        <a:stretch>
          <a:fillRect/>
        </a:stretch>
      </xdr:blipFill>
      <xdr:spPr>
        <a:xfrm>
          <a:off x="57461150" y="49428400"/>
          <a:ext cx="1848108" cy="1657581"/>
        </a:xfrm>
        <a:prstGeom prst="rect">
          <a:avLst/>
        </a:prstGeom>
      </xdr:spPr>
    </xdr:pic>
    <xdr:clientData/>
  </xdr:twoCellAnchor>
  <xdr:twoCellAnchor editAs="oneCell">
    <xdr:from>
      <xdr:col>20</xdr:col>
      <xdr:colOff>2336800</xdr:colOff>
      <xdr:row>34</xdr:row>
      <xdr:rowOff>717550</xdr:rowOff>
    </xdr:from>
    <xdr:to>
      <xdr:col>20</xdr:col>
      <xdr:colOff>4184908</xdr:colOff>
      <xdr:row>34</xdr:row>
      <xdr:rowOff>2375131</xdr:rowOff>
    </xdr:to>
    <xdr:pic>
      <xdr:nvPicPr>
        <xdr:cNvPr id="29" name="Picture 28">
          <a:extLst>
            <a:ext uri="{FF2B5EF4-FFF2-40B4-BE49-F238E27FC236}">
              <a16:creationId xmlns:a16="http://schemas.microsoft.com/office/drawing/2014/main" id="{C8189A84-18C8-BA44-C539-F47D0D9AE7C1}"/>
            </a:ext>
          </a:extLst>
        </xdr:cNvPr>
        <xdr:cNvPicPr>
          <a:picLocks noChangeAspect="1"/>
        </xdr:cNvPicPr>
      </xdr:nvPicPr>
      <xdr:blipFill>
        <a:blip xmlns:r="http://schemas.openxmlformats.org/officeDocument/2006/relationships" r:embed="rId7"/>
        <a:stretch>
          <a:fillRect/>
        </a:stretch>
      </xdr:blipFill>
      <xdr:spPr>
        <a:xfrm>
          <a:off x="57454800" y="52597050"/>
          <a:ext cx="1848108" cy="1657581"/>
        </a:xfrm>
        <a:prstGeom prst="rect">
          <a:avLst/>
        </a:prstGeom>
      </xdr:spPr>
    </xdr:pic>
    <xdr:clientData/>
  </xdr:twoCellAnchor>
  <xdr:twoCellAnchor editAs="oneCell">
    <xdr:from>
      <xdr:col>20</xdr:col>
      <xdr:colOff>2444750</xdr:colOff>
      <xdr:row>37</xdr:row>
      <xdr:rowOff>762000</xdr:rowOff>
    </xdr:from>
    <xdr:to>
      <xdr:col>20</xdr:col>
      <xdr:colOff>4292858</xdr:colOff>
      <xdr:row>37</xdr:row>
      <xdr:rowOff>2419581</xdr:rowOff>
    </xdr:to>
    <xdr:pic>
      <xdr:nvPicPr>
        <xdr:cNvPr id="31" name="Picture 30">
          <a:extLst>
            <a:ext uri="{FF2B5EF4-FFF2-40B4-BE49-F238E27FC236}">
              <a16:creationId xmlns:a16="http://schemas.microsoft.com/office/drawing/2014/main" id="{D814D847-7C54-3071-3782-DBBB0E82276D}"/>
            </a:ext>
          </a:extLst>
        </xdr:cNvPr>
        <xdr:cNvPicPr>
          <a:picLocks noChangeAspect="1"/>
        </xdr:cNvPicPr>
      </xdr:nvPicPr>
      <xdr:blipFill>
        <a:blip xmlns:r="http://schemas.openxmlformats.org/officeDocument/2006/relationships" r:embed="rId7"/>
        <a:stretch>
          <a:fillRect/>
        </a:stretch>
      </xdr:blipFill>
      <xdr:spPr>
        <a:xfrm>
          <a:off x="57562750" y="61880750"/>
          <a:ext cx="1848108" cy="1657581"/>
        </a:xfrm>
        <a:prstGeom prst="rect">
          <a:avLst/>
        </a:prstGeom>
      </xdr:spPr>
    </xdr:pic>
    <xdr:clientData/>
  </xdr:twoCellAnchor>
  <xdr:twoCellAnchor editAs="oneCell">
    <xdr:from>
      <xdr:col>20</xdr:col>
      <xdr:colOff>2603501</xdr:colOff>
      <xdr:row>22</xdr:row>
      <xdr:rowOff>476250</xdr:rowOff>
    </xdr:from>
    <xdr:to>
      <xdr:col>20</xdr:col>
      <xdr:colOff>3556001</xdr:colOff>
      <xdr:row>22</xdr:row>
      <xdr:rowOff>2603500</xdr:rowOff>
    </xdr:to>
    <xdr:pic>
      <xdr:nvPicPr>
        <xdr:cNvPr id="32" name="Picture 31">
          <a:extLst>
            <a:ext uri="{FF2B5EF4-FFF2-40B4-BE49-F238E27FC236}">
              <a16:creationId xmlns:a16="http://schemas.microsoft.com/office/drawing/2014/main" id="{EA75D6B3-5AEA-ACB8-1BFB-4581AFE50F2E}"/>
            </a:ext>
          </a:extLst>
        </xdr:cNvPr>
        <xdr:cNvPicPr>
          <a:picLocks noChangeAspect="1"/>
        </xdr:cNvPicPr>
      </xdr:nvPicPr>
      <xdr:blipFill>
        <a:blip xmlns:r="http://schemas.openxmlformats.org/officeDocument/2006/relationships" r:embed="rId8"/>
        <a:stretch>
          <a:fillRect/>
        </a:stretch>
      </xdr:blipFill>
      <xdr:spPr>
        <a:xfrm>
          <a:off x="57721501" y="15398750"/>
          <a:ext cx="952500" cy="2127250"/>
        </a:xfrm>
        <a:prstGeom prst="rect">
          <a:avLst/>
        </a:prstGeom>
      </xdr:spPr>
    </xdr:pic>
    <xdr:clientData/>
  </xdr:twoCellAnchor>
  <xdr:twoCellAnchor editAs="oneCell">
    <xdr:from>
      <xdr:col>20</xdr:col>
      <xdr:colOff>2698751</xdr:colOff>
      <xdr:row>28</xdr:row>
      <xdr:rowOff>508000</xdr:rowOff>
    </xdr:from>
    <xdr:to>
      <xdr:col>20</xdr:col>
      <xdr:colOff>3556001</xdr:colOff>
      <xdr:row>28</xdr:row>
      <xdr:rowOff>2365634</xdr:rowOff>
    </xdr:to>
    <xdr:pic>
      <xdr:nvPicPr>
        <xdr:cNvPr id="33" name="Picture 32">
          <a:extLst>
            <a:ext uri="{FF2B5EF4-FFF2-40B4-BE49-F238E27FC236}">
              <a16:creationId xmlns:a16="http://schemas.microsoft.com/office/drawing/2014/main" id="{BB4F3320-8F9F-56DC-5FE8-CF3DC9620971}"/>
            </a:ext>
          </a:extLst>
        </xdr:cNvPr>
        <xdr:cNvPicPr>
          <a:picLocks noChangeAspect="1"/>
        </xdr:cNvPicPr>
      </xdr:nvPicPr>
      <xdr:blipFill>
        <a:blip xmlns:r="http://schemas.openxmlformats.org/officeDocument/2006/relationships" r:embed="rId8"/>
        <a:stretch>
          <a:fillRect/>
        </a:stretch>
      </xdr:blipFill>
      <xdr:spPr>
        <a:xfrm>
          <a:off x="57816751" y="33909000"/>
          <a:ext cx="857250" cy="1857634"/>
        </a:xfrm>
        <a:prstGeom prst="rect">
          <a:avLst/>
        </a:prstGeom>
      </xdr:spPr>
    </xdr:pic>
    <xdr:clientData/>
  </xdr:twoCellAnchor>
  <xdr:twoCellAnchor editAs="oneCell">
    <xdr:from>
      <xdr:col>20</xdr:col>
      <xdr:colOff>2730501</xdr:colOff>
      <xdr:row>36</xdr:row>
      <xdr:rowOff>730250</xdr:rowOff>
    </xdr:from>
    <xdr:to>
      <xdr:col>20</xdr:col>
      <xdr:colOff>3714751</xdr:colOff>
      <xdr:row>36</xdr:row>
      <xdr:rowOff>2587884</xdr:rowOff>
    </xdr:to>
    <xdr:pic>
      <xdr:nvPicPr>
        <xdr:cNvPr id="34" name="Picture 33">
          <a:extLst>
            <a:ext uri="{FF2B5EF4-FFF2-40B4-BE49-F238E27FC236}">
              <a16:creationId xmlns:a16="http://schemas.microsoft.com/office/drawing/2014/main" id="{88633390-EDF0-A5DC-4B94-18F06385F328}"/>
            </a:ext>
          </a:extLst>
        </xdr:cNvPr>
        <xdr:cNvPicPr>
          <a:picLocks noChangeAspect="1"/>
        </xdr:cNvPicPr>
      </xdr:nvPicPr>
      <xdr:blipFill>
        <a:blip xmlns:r="http://schemas.openxmlformats.org/officeDocument/2006/relationships" r:embed="rId8"/>
        <a:stretch>
          <a:fillRect/>
        </a:stretch>
      </xdr:blipFill>
      <xdr:spPr>
        <a:xfrm>
          <a:off x="57848501" y="58769250"/>
          <a:ext cx="984250" cy="1857634"/>
        </a:xfrm>
        <a:prstGeom prst="rect">
          <a:avLst/>
        </a:prstGeom>
      </xdr:spPr>
    </xdr:pic>
    <xdr:clientData/>
  </xdr:twoCellAnchor>
  <xdr:twoCellAnchor editAs="oneCell">
    <xdr:from>
      <xdr:col>20</xdr:col>
      <xdr:colOff>2476500</xdr:colOff>
      <xdr:row>30</xdr:row>
      <xdr:rowOff>254000</xdr:rowOff>
    </xdr:from>
    <xdr:to>
      <xdr:col>20</xdr:col>
      <xdr:colOff>4095976</xdr:colOff>
      <xdr:row>30</xdr:row>
      <xdr:rowOff>2794000</xdr:rowOff>
    </xdr:to>
    <xdr:pic>
      <xdr:nvPicPr>
        <xdr:cNvPr id="35" name="Picture 34">
          <a:extLst>
            <a:ext uri="{FF2B5EF4-FFF2-40B4-BE49-F238E27FC236}">
              <a16:creationId xmlns:a16="http://schemas.microsoft.com/office/drawing/2014/main" id="{24DEE2EB-CCB9-9A0E-5757-795FB6447322}"/>
            </a:ext>
          </a:extLst>
        </xdr:cNvPr>
        <xdr:cNvPicPr>
          <a:picLocks noChangeAspect="1"/>
        </xdr:cNvPicPr>
      </xdr:nvPicPr>
      <xdr:blipFill>
        <a:blip xmlns:r="http://schemas.openxmlformats.org/officeDocument/2006/relationships" r:embed="rId9"/>
        <a:stretch>
          <a:fillRect/>
        </a:stretch>
      </xdr:blipFill>
      <xdr:spPr>
        <a:xfrm>
          <a:off x="57594500" y="39814500"/>
          <a:ext cx="1619476" cy="2540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15</xdr:col>
      <xdr:colOff>832339</xdr:colOff>
      <xdr:row>0</xdr:row>
      <xdr:rowOff>164122</xdr:rowOff>
    </xdr:from>
    <xdr:to>
      <xdr:col>23</xdr:col>
      <xdr:colOff>1284804</xdr:colOff>
      <xdr:row>0</xdr:row>
      <xdr:rowOff>1523648</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a:stretch>
          <a:fillRect/>
        </a:stretch>
      </xdr:blipFill>
      <xdr:spPr>
        <a:xfrm>
          <a:off x="20093354" y="164122"/>
          <a:ext cx="4895512" cy="135952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25</xdr:col>
          <xdr:colOff>38100</xdr:colOff>
          <xdr:row>0</xdr:row>
          <xdr:rowOff>647700</xdr:rowOff>
        </xdr:from>
        <xdr:to>
          <xdr:col>26</xdr:col>
          <xdr:colOff>28575</xdr:colOff>
          <xdr:row>1</xdr:row>
          <xdr:rowOff>28575</xdr:rowOff>
        </xdr:to>
        <xdr:sp macro="" textlink="">
          <xdr:nvSpPr>
            <xdr:cNvPr id="3086" name="Button 14" hidden="1">
              <a:extLst>
                <a:ext uri="{63B3BB69-23CF-44E3-9099-C40C66FF867C}">
                  <a14:compatExt spid="_x0000_s3086"/>
                </a:ext>
                <a:ext uri="{FF2B5EF4-FFF2-40B4-BE49-F238E27FC236}">
                  <a16:creationId xmlns:a16="http://schemas.microsoft.com/office/drawing/2014/main" id="{00000000-0008-0000-0200-00000E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0" i="0" u="none" strike="noStrike" baseline="0">
                  <a:solidFill>
                    <a:srgbClr val="0066CC"/>
                  </a:solidFill>
                  <a:latin typeface="Calibri"/>
                  <a:ea typeface="Calibri"/>
                  <a:cs typeface="Calibri"/>
                </a:rPr>
                <a:t>HIDE QUOTE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38100</xdr:colOff>
          <xdr:row>2</xdr:row>
          <xdr:rowOff>0</xdr:rowOff>
        </xdr:from>
        <xdr:to>
          <xdr:col>25</xdr:col>
          <xdr:colOff>2438400</xdr:colOff>
          <xdr:row>3</xdr:row>
          <xdr:rowOff>266700</xdr:rowOff>
        </xdr:to>
        <xdr:sp macro="" textlink="">
          <xdr:nvSpPr>
            <xdr:cNvPr id="3087" name="Button 15" hidden="1">
              <a:extLst>
                <a:ext uri="{63B3BB69-23CF-44E3-9099-C40C66FF867C}">
                  <a14:compatExt spid="_x0000_s3087"/>
                </a:ext>
                <a:ext uri="{FF2B5EF4-FFF2-40B4-BE49-F238E27FC236}">
                  <a16:creationId xmlns:a16="http://schemas.microsoft.com/office/drawing/2014/main" id="{00000000-0008-0000-0200-00000F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0" i="0" u="none" strike="noStrike" baseline="0">
                  <a:solidFill>
                    <a:srgbClr val="0066CC"/>
                  </a:solidFill>
                  <a:latin typeface="Calibri"/>
                  <a:ea typeface="Calibri"/>
                  <a:cs typeface="Calibri"/>
                </a:rPr>
                <a:t>UNHIDE QUOTE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114300</xdr:colOff>
          <xdr:row>2</xdr:row>
          <xdr:rowOff>38100</xdr:rowOff>
        </xdr:from>
        <xdr:to>
          <xdr:col>24</xdr:col>
          <xdr:colOff>28575</xdr:colOff>
          <xdr:row>3</xdr:row>
          <xdr:rowOff>247650</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200-000010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0" i="0" u="none" strike="noStrike" baseline="0">
                  <a:solidFill>
                    <a:srgbClr val="800080"/>
                  </a:solidFill>
                  <a:latin typeface="Calibri"/>
                  <a:ea typeface="Calibri"/>
                  <a:cs typeface="Calibri"/>
                </a:rPr>
                <a:t>SWITCH TO 5 ITEM ORDER CONFIRMATION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133350</xdr:colOff>
          <xdr:row>4</xdr:row>
          <xdr:rowOff>276225</xdr:rowOff>
        </xdr:from>
        <xdr:to>
          <xdr:col>23</xdr:col>
          <xdr:colOff>2457450</xdr:colOff>
          <xdr:row>7</xdr:row>
          <xdr:rowOff>95250</xdr:rowOff>
        </xdr:to>
        <xdr:sp macro="" textlink="">
          <xdr:nvSpPr>
            <xdr:cNvPr id="3089" name="Button 17" hidden="1">
              <a:extLst>
                <a:ext uri="{63B3BB69-23CF-44E3-9099-C40C66FF867C}">
                  <a14:compatExt spid="_x0000_s3089"/>
                </a:ext>
                <a:ext uri="{FF2B5EF4-FFF2-40B4-BE49-F238E27FC236}">
                  <a16:creationId xmlns:a16="http://schemas.microsoft.com/office/drawing/2014/main" id="{00000000-0008-0000-0200-00001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0" i="0" u="none" strike="noStrike" baseline="0">
                  <a:solidFill>
                    <a:srgbClr val="800080"/>
                  </a:solidFill>
                  <a:latin typeface="Calibri"/>
                  <a:ea typeface="Calibri"/>
                  <a:cs typeface="Calibri"/>
                </a:rPr>
                <a:t>SWITCH TO 10 ITEM ORDER CONFIRMATION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628650</xdr:colOff>
          <xdr:row>0</xdr:row>
          <xdr:rowOff>676275</xdr:rowOff>
        </xdr:from>
        <xdr:to>
          <xdr:col>27</xdr:col>
          <xdr:colOff>638175</xdr:colOff>
          <xdr:row>1</xdr:row>
          <xdr:rowOff>28575</xdr:rowOff>
        </xdr:to>
        <xdr:sp macro="" textlink="">
          <xdr:nvSpPr>
            <xdr:cNvPr id="3090" name="Button 18" hidden="1">
              <a:extLst>
                <a:ext uri="{63B3BB69-23CF-44E3-9099-C40C66FF867C}">
                  <a14:compatExt spid="_x0000_s3090"/>
                </a:ext>
                <a:ext uri="{FF2B5EF4-FFF2-40B4-BE49-F238E27FC236}">
                  <a16:creationId xmlns:a16="http://schemas.microsoft.com/office/drawing/2014/main" id="{00000000-0008-0000-0200-000012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0" i="0" u="none" strike="noStrike" baseline="0">
                  <a:solidFill>
                    <a:srgbClr val="FF0000"/>
                  </a:solidFill>
                  <a:latin typeface="Calibri"/>
                  <a:ea typeface="Calibri"/>
                  <a:cs typeface="Calibri"/>
                </a:rPr>
                <a:t>COPY OC IMAGES TO WORKS INSTRUCTION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171450</xdr:colOff>
          <xdr:row>8</xdr:row>
          <xdr:rowOff>180975</xdr:rowOff>
        </xdr:from>
        <xdr:to>
          <xdr:col>23</xdr:col>
          <xdr:colOff>2466975</xdr:colOff>
          <xdr:row>17</xdr:row>
          <xdr:rowOff>361950</xdr:rowOff>
        </xdr:to>
        <xdr:sp macro="" textlink="">
          <xdr:nvSpPr>
            <xdr:cNvPr id="3091" name="Button 19" hidden="1">
              <a:extLst>
                <a:ext uri="{63B3BB69-23CF-44E3-9099-C40C66FF867C}">
                  <a14:compatExt spid="_x0000_s3091"/>
                </a:ext>
                <a:ext uri="{FF2B5EF4-FFF2-40B4-BE49-F238E27FC236}">
                  <a16:creationId xmlns:a16="http://schemas.microsoft.com/office/drawing/2014/main" id="{00000000-0008-0000-0200-00001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0" i="0" u="none" strike="noStrike" baseline="0">
                  <a:solidFill>
                    <a:srgbClr val="800080"/>
                  </a:solidFill>
                  <a:latin typeface="Calibri"/>
                  <a:ea typeface="Calibri"/>
                  <a:cs typeface="Calibri"/>
                </a:rPr>
                <a:t>SWITCH TO 20 ITEM ORDER CONFIRMATION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38100</xdr:colOff>
          <xdr:row>4</xdr:row>
          <xdr:rowOff>295275</xdr:rowOff>
        </xdr:from>
        <xdr:to>
          <xdr:col>25</xdr:col>
          <xdr:colOff>2438400</xdr:colOff>
          <xdr:row>7</xdr:row>
          <xdr:rowOff>114300</xdr:rowOff>
        </xdr:to>
        <xdr:sp macro="" textlink="">
          <xdr:nvSpPr>
            <xdr:cNvPr id="3092" name="Button 20" hidden="1">
              <a:extLst>
                <a:ext uri="{63B3BB69-23CF-44E3-9099-C40C66FF867C}">
                  <a14:compatExt spid="_x0000_s3092"/>
                </a:ext>
                <a:ext uri="{FF2B5EF4-FFF2-40B4-BE49-F238E27FC236}">
                  <a16:creationId xmlns:a16="http://schemas.microsoft.com/office/drawing/2014/main" id="{00000000-0008-0000-0200-00001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0" i="0" u="none" strike="noStrike" baseline="0">
                  <a:solidFill>
                    <a:srgbClr val="0066CC"/>
                  </a:solidFill>
                  <a:latin typeface="Calibri"/>
                  <a:ea typeface="Calibri"/>
                  <a:cs typeface="Calibri"/>
                </a:rPr>
                <a:t>UNHIDE / REVEAL POST SURVEY INFORMATION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57150</xdr:colOff>
          <xdr:row>8</xdr:row>
          <xdr:rowOff>180975</xdr:rowOff>
        </xdr:from>
        <xdr:to>
          <xdr:col>26</xdr:col>
          <xdr:colOff>28575</xdr:colOff>
          <xdr:row>17</xdr:row>
          <xdr:rowOff>333375</xdr:rowOff>
        </xdr:to>
        <xdr:sp macro="" textlink="">
          <xdr:nvSpPr>
            <xdr:cNvPr id="3093" name="Button 21" hidden="1">
              <a:extLst>
                <a:ext uri="{63B3BB69-23CF-44E3-9099-C40C66FF867C}">
                  <a14:compatExt spid="_x0000_s3093"/>
                </a:ext>
                <a:ext uri="{FF2B5EF4-FFF2-40B4-BE49-F238E27FC236}">
                  <a16:creationId xmlns:a16="http://schemas.microsoft.com/office/drawing/2014/main" id="{00000000-0008-0000-0200-000015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0" i="0" u="none" strike="noStrike" baseline="0">
                  <a:solidFill>
                    <a:srgbClr val="0066CC"/>
                  </a:solidFill>
                  <a:latin typeface="Calibri"/>
                  <a:ea typeface="Calibri"/>
                  <a:cs typeface="Calibri"/>
                </a:rPr>
                <a:t>HIDE POST SURVEY INFORMATION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676275</xdr:colOff>
          <xdr:row>1</xdr:row>
          <xdr:rowOff>323850</xdr:rowOff>
        </xdr:from>
        <xdr:to>
          <xdr:col>27</xdr:col>
          <xdr:colOff>590550</xdr:colOff>
          <xdr:row>3</xdr:row>
          <xdr:rowOff>295275</xdr:rowOff>
        </xdr:to>
        <xdr:sp macro="" textlink="">
          <xdr:nvSpPr>
            <xdr:cNvPr id="3095" name="Button 23" hidden="1">
              <a:extLst>
                <a:ext uri="{63B3BB69-23CF-44E3-9099-C40C66FF867C}">
                  <a14:compatExt spid="_x0000_s3095"/>
                </a:ext>
                <a:ext uri="{FF2B5EF4-FFF2-40B4-BE49-F238E27FC236}">
                  <a16:creationId xmlns:a16="http://schemas.microsoft.com/office/drawing/2014/main" id="{00000000-0008-0000-0200-000017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0" i="0" u="none" strike="noStrike" baseline="0">
                  <a:solidFill>
                    <a:srgbClr val="FF0000"/>
                  </a:solidFill>
                  <a:latin typeface="Calibri"/>
                  <a:ea typeface="Calibri"/>
                  <a:cs typeface="Calibri"/>
                </a:rPr>
                <a:t>UNHIDE WORKS INSTRUCTION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685800</xdr:colOff>
          <xdr:row>4</xdr:row>
          <xdr:rowOff>333375</xdr:rowOff>
        </xdr:from>
        <xdr:to>
          <xdr:col>27</xdr:col>
          <xdr:colOff>571500</xdr:colOff>
          <xdr:row>7</xdr:row>
          <xdr:rowOff>133350</xdr:rowOff>
        </xdr:to>
        <xdr:sp macro="" textlink="">
          <xdr:nvSpPr>
            <xdr:cNvPr id="3096" name="Button 24" hidden="1">
              <a:extLst>
                <a:ext uri="{63B3BB69-23CF-44E3-9099-C40C66FF867C}">
                  <a14:compatExt spid="_x0000_s3096"/>
                </a:ext>
                <a:ext uri="{FF2B5EF4-FFF2-40B4-BE49-F238E27FC236}">
                  <a16:creationId xmlns:a16="http://schemas.microsoft.com/office/drawing/2014/main" id="{00000000-0008-0000-0200-000018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0" i="0" u="none" strike="noStrike" baseline="0">
                  <a:solidFill>
                    <a:srgbClr val="FF0000"/>
                  </a:solidFill>
                  <a:latin typeface="Calibri"/>
                  <a:ea typeface="Calibri"/>
                  <a:cs typeface="Calibri"/>
                </a:rPr>
                <a:t>HIDE WORKS INSTRUCTION</a:t>
              </a:r>
            </a:p>
          </xdr:txBody>
        </xdr:sp>
        <xdr:clientData fPrintsWithSheet="0"/>
      </xdr:twoCellAnchor>
    </mc:Choice>
    <mc:Fallback/>
  </mc:AlternateContent>
  <xdr:twoCellAnchor editAs="oneCell">
    <xdr:from>
      <xdr:col>0</xdr:col>
      <xdr:colOff>428626</xdr:colOff>
      <xdr:row>0</xdr:row>
      <xdr:rowOff>190501</xdr:rowOff>
    </xdr:from>
    <xdr:to>
      <xdr:col>2</xdr:col>
      <xdr:colOff>261938</xdr:colOff>
      <xdr:row>0</xdr:row>
      <xdr:rowOff>2134714</xdr:rowOff>
    </xdr:to>
    <xdr:pic>
      <xdr:nvPicPr>
        <xdr:cNvPr id="18" name="Graphic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28626" y="190501"/>
          <a:ext cx="3952875" cy="194421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295275</xdr:colOff>
          <xdr:row>5</xdr:row>
          <xdr:rowOff>152400</xdr:rowOff>
        </xdr:from>
        <xdr:to>
          <xdr:col>20</xdr:col>
          <xdr:colOff>57150</xdr:colOff>
          <xdr:row>8</xdr:row>
          <xdr:rowOff>180975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0" i="0" u="none" strike="noStrike" baseline="0">
                  <a:solidFill>
                    <a:srgbClr val="000000"/>
                  </a:solidFill>
                  <a:latin typeface="Calibri"/>
                  <a:ea typeface="Calibri"/>
                  <a:cs typeface="Calibri"/>
                </a:rPr>
                <a:t>5 ITEM WORKS INSTRUCTION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304800</xdr:colOff>
          <xdr:row>10</xdr:row>
          <xdr:rowOff>66675</xdr:rowOff>
        </xdr:from>
        <xdr:to>
          <xdr:col>20</xdr:col>
          <xdr:colOff>95250</xdr:colOff>
          <xdr:row>13</xdr:row>
          <xdr:rowOff>180975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0" i="0" u="none" strike="noStrike" baseline="0">
                  <a:solidFill>
                    <a:srgbClr val="000000"/>
                  </a:solidFill>
                  <a:latin typeface="Calibri"/>
                  <a:ea typeface="Calibri"/>
                  <a:cs typeface="Calibri"/>
                </a:rPr>
                <a:t>10 ITEM WORKS INSTRUCTION</a:t>
              </a:r>
            </a:p>
            <a:p>
              <a:pPr algn="ctr" rtl="0">
                <a:defRPr sz="1000"/>
              </a:pPr>
              <a:endParaRPr lang="en-GB" sz="16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123825</xdr:colOff>
          <xdr:row>5</xdr:row>
          <xdr:rowOff>171450</xdr:rowOff>
        </xdr:from>
        <xdr:to>
          <xdr:col>21</xdr:col>
          <xdr:colOff>2076450</xdr:colOff>
          <xdr:row>8</xdr:row>
          <xdr:rowOff>219075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0" i="0" u="none" strike="noStrike" baseline="0">
                  <a:solidFill>
                    <a:srgbClr val="000000"/>
                  </a:solidFill>
                  <a:latin typeface="Calibri"/>
                  <a:ea typeface="Calibri"/>
                  <a:cs typeface="Calibri"/>
                </a:rPr>
                <a:t>20 ITEM WORKS INSTRUCTION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133350</xdr:colOff>
          <xdr:row>10</xdr:row>
          <xdr:rowOff>38100</xdr:rowOff>
        </xdr:from>
        <xdr:to>
          <xdr:col>21</xdr:col>
          <xdr:colOff>2057400</xdr:colOff>
          <xdr:row>13</xdr:row>
          <xdr:rowOff>133350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0" i="0" u="none" strike="noStrike" baseline="0">
                  <a:solidFill>
                    <a:srgbClr val="000000"/>
                  </a:solidFill>
                  <a:latin typeface="Calibri"/>
                  <a:ea typeface="Calibri"/>
                  <a:cs typeface="Calibri"/>
                </a:rPr>
                <a:t>40 ITEM WORKS INSTRUCTION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295275</xdr:colOff>
          <xdr:row>13</xdr:row>
          <xdr:rowOff>571500</xdr:rowOff>
        </xdr:from>
        <xdr:to>
          <xdr:col>20</xdr:col>
          <xdr:colOff>85725</xdr:colOff>
          <xdr:row>15</xdr:row>
          <xdr:rowOff>676275</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0" i="0" u="none" strike="noStrike" baseline="0">
                  <a:solidFill>
                    <a:srgbClr val="FF0000"/>
                  </a:solidFill>
                  <a:latin typeface="Calibri"/>
                  <a:ea typeface="Calibri"/>
                  <a:cs typeface="Calibri"/>
                </a:rPr>
                <a:t>HIDE ORDER CONFIRMATION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171450</xdr:colOff>
          <xdr:row>13</xdr:row>
          <xdr:rowOff>542925</xdr:rowOff>
        </xdr:from>
        <xdr:to>
          <xdr:col>21</xdr:col>
          <xdr:colOff>2076450</xdr:colOff>
          <xdr:row>15</xdr:row>
          <xdr:rowOff>609600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0" i="0" u="none" strike="noStrike" baseline="0">
                  <a:solidFill>
                    <a:srgbClr val="FF0000"/>
                  </a:solidFill>
                  <a:latin typeface="Calibri"/>
                  <a:ea typeface="Calibri"/>
                  <a:cs typeface="Calibri"/>
                </a:rPr>
                <a:t>UNHIDE ORDER CONFIRMATION</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3" Type="http://schemas.openxmlformats.org/officeDocument/2006/relationships/vmlDrawing" Target="../drawings/vmlDrawing1.vml"/><Relationship Id="rId7" Type="http://schemas.openxmlformats.org/officeDocument/2006/relationships/ctrlProp" Target="../ctrlProps/ctrlProp3.xml"/><Relationship Id="rId12" Type="http://schemas.openxmlformats.org/officeDocument/2006/relationships/ctrlProp" Target="../ctrlProps/ctrlProp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4.xml"/><Relationship Id="rId13" Type="http://schemas.openxmlformats.org/officeDocument/2006/relationships/ctrlProp" Target="../ctrlProps/ctrlProp19.xml"/><Relationship Id="rId3" Type="http://schemas.openxmlformats.org/officeDocument/2006/relationships/vmlDrawing" Target="../drawings/vmlDrawing4.vml"/><Relationship Id="rId7" Type="http://schemas.openxmlformats.org/officeDocument/2006/relationships/ctrlProp" Target="../ctrlProps/ctrlProp13.xml"/><Relationship Id="rId12" Type="http://schemas.openxmlformats.org/officeDocument/2006/relationships/ctrlProp" Target="../ctrlProps/ctrlProp18.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2.xml"/><Relationship Id="rId11" Type="http://schemas.openxmlformats.org/officeDocument/2006/relationships/ctrlProp" Target="../ctrlProps/ctrlProp17.xml"/><Relationship Id="rId5" Type="http://schemas.openxmlformats.org/officeDocument/2006/relationships/ctrlProp" Target="../ctrlProps/ctrlProp11.xml"/><Relationship Id="rId10" Type="http://schemas.openxmlformats.org/officeDocument/2006/relationships/ctrlProp" Target="../ctrlProps/ctrlProp16.xml"/><Relationship Id="rId4" Type="http://schemas.openxmlformats.org/officeDocument/2006/relationships/vmlDrawing" Target="../drawings/vmlDrawing5.vml"/><Relationship Id="rId9" Type="http://schemas.openxmlformats.org/officeDocument/2006/relationships/ctrlProp" Target="../ctrlProps/ctrlProp15.xml"/><Relationship Id="rId14" Type="http://schemas.openxmlformats.org/officeDocument/2006/relationships/ctrlProp" Target="../ctrlProps/ctrlProp20.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5.xml"/><Relationship Id="rId3" Type="http://schemas.openxmlformats.org/officeDocument/2006/relationships/vmlDrawing" Target="../drawings/vmlDrawing6.vml"/><Relationship Id="rId7" Type="http://schemas.openxmlformats.org/officeDocument/2006/relationships/ctrlProp" Target="../ctrlProps/ctrlProp24.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ctrlProp" Target="../ctrlProps/ctrlProp21.xml"/><Relationship Id="rId9" Type="http://schemas.openxmlformats.org/officeDocument/2006/relationships/ctrlProp" Target="../ctrlProps/ctrlProp2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pageSetUpPr fitToPage="1"/>
  </sheetPr>
  <dimension ref="A1:BQ220"/>
  <sheetViews>
    <sheetView showGridLines="0" tabSelected="1" topLeftCell="A34" zoomScale="30" zoomScaleNormal="30" zoomScalePageLayoutView="50" workbookViewId="0">
      <selection activeCell="N123" sqref="N123"/>
    </sheetView>
  </sheetViews>
  <sheetFormatPr defaultColWidth="9.140625" defaultRowHeight="18.75" x14ac:dyDescent="0.25"/>
  <cols>
    <col min="1" max="1" width="23.42578125" style="3" customWidth="1"/>
    <col min="2" max="2" width="38.42578125" style="3" customWidth="1"/>
    <col min="3" max="3" width="153.28515625" style="2" customWidth="1"/>
    <col min="4" max="5" width="28.42578125" style="3" customWidth="1"/>
    <col min="6" max="6" width="45.28515625" style="5" customWidth="1"/>
    <col min="7" max="7" width="204" style="5" customWidth="1"/>
    <col min="8" max="8" width="43.5703125" style="2" customWidth="1"/>
    <col min="9" max="9" width="32.42578125" style="2" customWidth="1"/>
    <col min="10" max="10" width="46" style="2" customWidth="1"/>
    <col min="11" max="13" width="34.42578125" style="2" hidden="1" customWidth="1"/>
    <col min="14" max="14" width="42.140625" style="68" customWidth="1"/>
    <col min="15" max="15" width="44.42578125" style="68" hidden="1" customWidth="1"/>
    <col min="16" max="18" width="44.42578125" style="2" hidden="1" customWidth="1"/>
    <col min="19" max="19" width="50.5703125" style="2" hidden="1" customWidth="1"/>
    <col min="20" max="20" width="50.5703125" style="2" customWidth="1"/>
    <col min="21" max="21" width="90.85546875" style="3" customWidth="1"/>
    <col min="22" max="22" width="6.42578125" style="1" customWidth="1"/>
    <col min="23" max="23" width="8.5703125" style="1" customWidth="1"/>
    <col min="24" max="24" width="39.85546875" style="1" customWidth="1"/>
    <col min="25" max="25" width="9.140625" style="1"/>
    <col min="26" max="26" width="34.42578125" style="1" customWidth="1"/>
    <col min="27" max="27" width="9.140625" style="1"/>
    <col min="28" max="28" width="34.5703125" style="1" customWidth="1"/>
    <col min="29" max="44" width="9.140625" style="1"/>
    <col min="45" max="45" width="54.42578125" style="1" customWidth="1"/>
    <col min="46" max="55" width="54.42578125" style="1" hidden="1" customWidth="1"/>
    <col min="56" max="56" width="54.42578125" style="1" customWidth="1"/>
    <col min="57" max="57" width="81.5703125" style="1" customWidth="1"/>
    <col min="58" max="16384" width="9.140625" style="1"/>
  </cols>
  <sheetData>
    <row r="1" spans="1:57" ht="171" customHeight="1" x14ac:dyDescent="2.2000000000000002">
      <c r="A1" s="238"/>
      <c r="B1" s="239"/>
      <c r="C1" s="239"/>
      <c r="D1" s="193"/>
      <c r="E1" s="193"/>
      <c r="F1" s="193"/>
      <c r="G1" s="236" t="s">
        <v>182</v>
      </c>
      <c r="H1" s="237"/>
      <c r="I1" s="237"/>
      <c r="J1" s="237"/>
      <c r="K1" s="195"/>
      <c r="L1" s="195"/>
      <c r="M1" s="195"/>
      <c r="N1" s="195"/>
      <c r="O1" s="195"/>
      <c r="P1" s="195"/>
      <c r="Q1" s="195"/>
      <c r="R1" s="195"/>
      <c r="S1" s="234"/>
      <c r="T1" s="234"/>
      <c r="U1" s="235"/>
      <c r="W1" s="129"/>
      <c r="X1" s="229" t="s">
        <v>109</v>
      </c>
      <c r="Y1" s="229"/>
      <c r="Z1" s="229"/>
      <c r="AA1" s="229"/>
      <c r="AB1" s="229"/>
      <c r="AC1" s="230"/>
      <c r="AT1" s="160" t="s">
        <v>54</v>
      </c>
      <c r="AU1" s="160" t="s">
        <v>130</v>
      </c>
      <c r="AV1" s="160" t="s">
        <v>138</v>
      </c>
      <c r="AW1" s="160" t="s">
        <v>134</v>
      </c>
      <c r="AX1" s="160"/>
      <c r="AY1" s="160"/>
      <c r="AZ1" s="160"/>
      <c r="BA1" s="160"/>
      <c r="BB1" s="160"/>
      <c r="BC1" s="160"/>
    </row>
    <row r="2" spans="1:57" ht="37.5" x14ac:dyDescent="0.25">
      <c r="A2" s="121"/>
      <c r="B2" s="122"/>
      <c r="C2" s="122"/>
      <c r="D2" s="122"/>
      <c r="E2" s="122"/>
      <c r="F2" s="122"/>
      <c r="G2" s="122"/>
      <c r="H2" s="122"/>
      <c r="I2" s="122"/>
      <c r="J2" s="122"/>
      <c r="K2" s="122"/>
      <c r="L2" s="122"/>
      <c r="M2" s="122"/>
      <c r="N2" s="122"/>
      <c r="O2" s="122"/>
      <c r="P2" s="122"/>
      <c r="Q2" s="122"/>
      <c r="R2" s="122"/>
      <c r="S2" s="122"/>
      <c r="T2" s="122"/>
      <c r="U2" s="202">
        <f ca="1">TODAY()</f>
        <v>46308</v>
      </c>
      <c r="W2" s="131"/>
      <c r="X2" s="128"/>
      <c r="Y2" s="128"/>
      <c r="Z2" s="128"/>
      <c r="AA2" s="128"/>
      <c r="AB2" s="128"/>
      <c r="AC2" s="132"/>
      <c r="AT2" s="208" t="s">
        <v>128</v>
      </c>
      <c r="AU2" s="161" t="s">
        <v>131</v>
      </c>
      <c r="AV2" s="161" t="s">
        <v>135</v>
      </c>
      <c r="AW2" s="161" t="s">
        <v>135</v>
      </c>
      <c r="AX2" s="158"/>
      <c r="AY2" s="158"/>
      <c r="AZ2" s="158"/>
      <c r="BA2" s="158"/>
      <c r="BB2" s="158"/>
      <c r="BC2" s="158"/>
      <c r="BE2" s="201"/>
    </row>
    <row r="3" spans="1:57" ht="46.5" x14ac:dyDescent="0.25">
      <c r="A3" s="303" t="s">
        <v>243</v>
      </c>
      <c r="B3" s="304"/>
      <c r="C3" s="304"/>
      <c r="D3" s="304"/>
      <c r="E3" s="304"/>
      <c r="F3" s="304"/>
      <c r="G3" s="304"/>
      <c r="H3" s="304"/>
      <c r="I3" s="123"/>
      <c r="J3" s="123"/>
      <c r="K3" s="123"/>
      <c r="L3" s="123"/>
      <c r="M3" s="123"/>
      <c r="N3" s="123"/>
      <c r="O3" s="123"/>
      <c r="P3" s="123"/>
      <c r="Q3" s="123"/>
      <c r="R3" s="123"/>
      <c r="S3" s="123"/>
      <c r="T3" s="123"/>
      <c r="U3" s="123"/>
      <c r="W3" s="147"/>
      <c r="X3" s="128"/>
      <c r="Y3" s="128"/>
      <c r="Z3" s="128"/>
      <c r="AA3" s="128"/>
      <c r="AB3" s="128"/>
      <c r="AC3" s="132"/>
      <c r="AT3" s="208" t="s">
        <v>129</v>
      </c>
      <c r="AU3" s="161" t="s">
        <v>146</v>
      </c>
      <c r="AV3" s="161" t="s">
        <v>136</v>
      </c>
      <c r="AW3" s="161" t="s">
        <v>136</v>
      </c>
      <c r="AX3" s="158"/>
      <c r="AY3" s="158"/>
      <c r="AZ3" s="158"/>
      <c r="BA3" s="158"/>
      <c r="BB3" s="158"/>
      <c r="BC3" s="158"/>
      <c r="BE3" s="201"/>
    </row>
    <row r="4" spans="1:57" ht="31.7" customHeight="1" x14ac:dyDescent="0.25">
      <c r="A4" s="44"/>
      <c r="B4" s="44"/>
      <c r="C4" s="44"/>
      <c r="D4" s="44"/>
      <c r="E4" s="44"/>
      <c r="F4" s="44"/>
      <c r="G4" s="44"/>
      <c r="H4" s="44"/>
      <c r="I4" s="44"/>
      <c r="J4" s="44"/>
      <c r="K4" s="44"/>
      <c r="L4" s="44"/>
      <c r="M4" s="44"/>
      <c r="N4" s="72"/>
      <c r="O4" s="72"/>
      <c r="P4" s="44"/>
      <c r="Q4" s="44"/>
      <c r="R4" s="44"/>
      <c r="S4" s="44"/>
      <c r="T4" s="44"/>
      <c r="U4" s="44"/>
      <c r="W4" s="131"/>
      <c r="X4" s="128"/>
      <c r="Y4" s="128"/>
      <c r="Z4" s="128"/>
      <c r="AA4" s="128"/>
      <c r="AB4" s="128"/>
      <c r="AC4" s="132"/>
      <c r="AT4" s="208" t="s">
        <v>140</v>
      </c>
      <c r="AU4" s="161" t="s">
        <v>147</v>
      </c>
      <c r="AV4" s="161" t="s">
        <v>177</v>
      </c>
      <c r="AW4" s="161" t="s">
        <v>139</v>
      </c>
      <c r="AX4" s="158"/>
      <c r="AY4" s="158"/>
      <c r="AZ4" s="158"/>
      <c r="BA4" s="158"/>
      <c r="BB4" s="158"/>
      <c r="BC4" s="158"/>
      <c r="BE4" s="201"/>
    </row>
    <row r="5" spans="1:57" ht="37.5" x14ac:dyDescent="0.25">
      <c r="A5" s="305" t="s">
        <v>197</v>
      </c>
      <c r="B5" s="306"/>
      <c r="C5" s="306"/>
      <c r="D5" s="306"/>
      <c r="E5" s="306"/>
      <c r="F5" s="306"/>
      <c r="G5" s="306"/>
      <c r="H5" s="306"/>
      <c r="I5" s="44"/>
      <c r="J5" s="44"/>
      <c r="K5" s="44"/>
      <c r="L5" s="44"/>
      <c r="M5" s="44"/>
      <c r="N5" s="72"/>
      <c r="O5" s="72"/>
      <c r="P5" s="44"/>
      <c r="Q5" s="44"/>
      <c r="R5" s="44"/>
      <c r="S5" s="44"/>
      <c r="T5" s="44"/>
      <c r="U5" s="44"/>
      <c r="W5" s="131"/>
      <c r="X5" s="128"/>
      <c r="Y5" s="128"/>
      <c r="Z5" s="128"/>
      <c r="AA5" s="128"/>
      <c r="AB5" s="128"/>
      <c r="AC5" s="132"/>
      <c r="AT5" s="208" t="s">
        <v>187</v>
      </c>
      <c r="AU5" s="161" t="s">
        <v>148</v>
      </c>
      <c r="AV5" s="161" t="s">
        <v>178</v>
      </c>
      <c r="AW5" s="161" t="s">
        <v>140</v>
      </c>
      <c r="AX5" s="158"/>
      <c r="AY5" s="158"/>
      <c r="AZ5" s="158"/>
      <c r="BA5" s="158"/>
      <c r="BB5" s="158"/>
      <c r="BC5" s="158"/>
      <c r="BE5" s="201"/>
    </row>
    <row r="6" spans="1:57" ht="37.5" x14ac:dyDescent="0.25">
      <c r="A6" s="305" t="s">
        <v>198</v>
      </c>
      <c r="B6" s="306"/>
      <c r="C6" s="306"/>
      <c r="D6" s="306"/>
      <c r="E6" s="306"/>
      <c r="F6" s="306"/>
      <c r="G6" s="306"/>
      <c r="H6" s="306"/>
      <c r="I6" s="44"/>
      <c r="J6" s="44"/>
      <c r="K6" s="44"/>
      <c r="L6" s="44"/>
      <c r="M6" s="44"/>
      <c r="N6" s="72"/>
      <c r="O6" s="72"/>
      <c r="P6" s="44"/>
      <c r="Q6" s="44"/>
      <c r="R6" s="44"/>
      <c r="S6" s="44"/>
      <c r="T6" s="44"/>
      <c r="U6" s="44"/>
      <c r="W6" s="131"/>
      <c r="X6" s="128"/>
      <c r="Y6" s="128"/>
      <c r="Z6" s="128"/>
      <c r="AA6" s="128"/>
      <c r="AB6" s="128"/>
      <c r="AC6" s="132"/>
      <c r="AT6" s="208" t="s">
        <v>188</v>
      </c>
      <c r="AU6" s="161" t="s">
        <v>132</v>
      </c>
      <c r="AV6" s="161"/>
      <c r="AX6" s="158"/>
      <c r="AY6" s="158"/>
      <c r="AZ6" s="158"/>
      <c r="BA6" s="158"/>
      <c r="BB6" s="158"/>
      <c r="BC6" s="158"/>
    </row>
    <row r="7" spans="1:57" ht="37.5" x14ac:dyDescent="0.25">
      <c r="A7" s="305" t="s">
        <v>199</v>
      </c>
      <c r="B7" s="306"/>
      <c r="C7" s="306"/>
      <c r="D7" s="306"/>
      <c r="E7" s="306"/>
      <c r="F7" s="306"/>
      <c r="G7" s="306"/>
      <c r="H7" s="306"/>
      <c r="I7" s="44"/>
      <c r="J7" s="44"/>
      <c r="K7" s="44"/>
      <c r="L7" s="44"/>
      <c r="M7" s="44"/>
      <c r="N7" s="72"/>
      <c r="O7" s="72"/>
      <c r="P7" s="44"/>
      <c r="Q7" s="44"/>
      <c r="R7" s="44"/>
      <c r="S7" s="44"/>
      <c r="T7" s="44"/>
      <c r="U7" s="44"/>
      <c r="W7" s="131"/>
      <c r="X7" s="128"/>
      <c r="Y7" s="128"/>
      <c r="Z7" s="128"/>
      <c r="AA7" s="128"/>
      <c r="AB7" s="128"/>
      <c r="AC7" s="132"/>
      <c r="AT7" s="208" t="s">
        <v>189</v>
      </c>
      <c r="AU7" s="161" t="s">
        <v>133</v>
      </c>
      <c r="AV7" s="158"/>
      <c r="AX7" s="158"/>
      <c r="AY7" s="158"/>
      <c r="AZ7" s="158"/>
      <c r="BA7" s="158"/>
      <c r="BB7" s="158"/>
      <c r="BC7" s="158"/>
    </row>
    <row r="8" spans="1:57" ht="37.5" x14ac:dyDescent="0.25">
      <c r="A8" s="305" t="s">
        <v>200</v>
      </c>
      <c r="B8" s="306"/>
      <c r="C8" s="306"/>
      <c r="D8" s="306"/>
      <c r="E8" s="306"/>
      <c r="F8" s="306"/>
      <c r="G8" s="306"/>
      <c r="H8" s="306"/>
      <c r="I8" s="44"/>
      <c r="J8" s="44"/>
      <c r="K8" s="44"/>
      <c r="L8" s="44"/>
      <c r="M8" s="44"/>
      <c r="N8" s="72"/>
      <c r="O8" s="72"/>
      <c r="P8" s="44"/>
      <c r="Q8" s="44"/>
      <c r="R8" s="44"/>
      <c r="S8" s="44"/>
      <c r="T8" s="44"/>
      <c r="U8" s="44"/>
      <c r="W8" s="131"/>
      <c r="X8" s="128"/>
      <c r="Y8" s="128"/>
      <c r="Z8" s="128"/>
      <c r="AA8" s="128"/>
      <c r="AB8" s="128"/>
      <c r="AC8" s="132"/>
      <c r="AD8" s="15"/>
      <c r="AT8" s="208" t="s">
        <v>190</v>
      </c>
      <c r="AU8" s="161" t="s">
        <v>140</v>
      </c>
      <c r="AV8" s="158"/>
      <c r="AW8" s="158"/>
      <c r="AX8" s="158"/>
      <c r="AY8" s="158"/>
      <c r="AZ8" s="158"/>
      <c r="BA8" s="158"/>
      <c r="BB8" s="158"/>
      <c r="BC8" s="158"/>
    </row>
    <row r="9" spans="1:57" ht="37.5" x14ac:dyDescent="0.25">
      <c r="A9" s="305"/>
      <c r="B9" s="306"/>
      <c r="C9" s="306"/>
      <c r="D9" s="306"/>
      <c r="E9" s="306"/>
      <c r="F9" s="306"/>
      <c r="G9" s="306"/>
      <c r="H9" s="306"/>
      <c r="I9" s="45"/>
      <c r="J9" s="45"/>
      <c r="K9" s="45"/>
      <c r="L9" s="45"/>
      <c r="M9" s="45"/>
      <c r="N9" s="73"/>
      <c r="O9" s="73"/>
      <c r="P9" s="45"/>
      <c r="Q9" s="45"/>
      <c r="R9" s="45"/>
      <c r="S9" s="45"/>
      <c r="T9" s="45"/>
      <c r="U9" s="46"/>
      <c r="W9" s="131"/>
      <c r="X9" s="128"/>
      <c r="Y9" s="128"/>
      <c r="Z9" s="128"/>
      <c r="AA9" s="128"/>
      <c r="AB9" s="128"/>
      <c r="AC9" s="132"/>
      <c r="AD9" s="15"/>
      <c r="AT9" s="158"/>
      <c r="AU9" s="161" t="s">
        <v>142</v>
      </c>
      <c r="AV9" s="158"/>
      <c r="AW9" s="158"/>
      <c r="AX9" s="158"/>
      <c r="AY9" s="158"/>
      <c r="AZ9" s="158"/>
      <c r="BA9" s="158"/>
      <c r="BB9" s="158"/>
      <c r="BC9" s="158"/>
    </row>
    <row r="10" spans="1:57" ht="27.75" hidden="1" x14ac:dyDescent="0.25">
      <c r="A10" s="301" t="s">
        <v>10</v>
      </c>
      <c r="B10" s="302"/>
      <c r="C10" s="302"/>
      <c r="D10" s="302"/>
      <c r="E10" s="302"/>
      <c r="F10" s="302"/>
      <c r="G10" s="302"/>
      <c r="H10" s="302"/>
      <c r="I10"/>
      <c r="J10"/>
      <c r="K10"/>
      <c r="L10"/>
      <c r="M10"/>
      <c r="N10"/>
      <c r="O10"/>
      <c r="P10"/>
      <c r="Q10"/>
      <c r="R10"/>
      <c r="S10"/>
      <c r="T10"/>
      <c r="U10"/>
      <c r="W10" s="131"/>
      <c r="X10" s="128"/>
      <c r="Y10" s="128"/>
      <c r="Z10" s="128"/>
      <c r="AA10" s="128"/>
      <c r="AB10" s="128"/>
      <c r="AC10" s="132"/>
      <c r="AD10" s="15"/>
      <c r="AT10" s="158"/>
      <c r="AU10" s="158"/>
      <c r="AV10" s="158"/>
      <c r="AW10" s="158"/>
      <c r="AX10" s="158"/>
      <c r="AY10" s="158"/>
      <c r="AZ10" s="158"/>
      <c r="BA10" s="158"/>
      <c r="BB10" s="158"/>
      <c r="BC10" s="158"/>
    </row>
    <row r="11" spans="1:57" ht="27.75" hidden="1" x14ac:dyDescent="0.45">
      <c r="A11" s="56"/>
      <c r="B11" s="56"/>
      <c r="C11" s="45"/>
      <c r="D11" s="46"/>
      <c r="E11" s="46"/>
      <c r="F11" s="45"/>
      <c r="G11" s="45"/>
      <c r="H11" s="45"/>
      <c r="I11" s="45"/>
      <c r="J11" s="45"/>
      <c r="K11" s="45"/>
      <c r="L11" s="45"/>
      <c r="M11" s="45"/>
      <c r="N11" s="73"/>
      <c r="O11" s="73"/>
      <c r="P11" s="45"/>
      <c r="Q11" s="45"/>
      <c r="R11" s="45"/>
      <c r="S11" s="45"/>
      <c r="T11" s="45"/>
      <c r="U11" s="46"/>
      <c r="W11" s="131"/>
      <c r="X11" s="128"/>
      <c r="Y11" s="128"/>
      <c r="Z11" s="128"/>
      <c r="AA11" s="128"/>
      <c r="AB11" s="128"/>
      <c r="AC11" s="132"/>
      <c r="AD11" s="15"/>
      <c r="AT11" s="158"/>
      <c r="AU11" s="158"/>
      <c r="AV11" s="158"/>
      <c r="AW11" s="158"/>
      <c r="AX11" s="158"/>
      <c r="AY11" s="158"/>
      <c r="AZ11" s="158"/>
      <c r="BA11" s="158"/>
      <c r="BB11" s="158"/>
      <c r="BC11" s="158"/>
    </row>
    <row r="12" spans="1:57" ht="27.75" hidden="1" x14ac:dyDescent="0.25">
      <c r="A12" s="301" t="s">
        <v>41</v>
      </c>
      <c r="B12" s="302"/>
      <c r="C12" s="302"/>
      <c r="D12" s="302"/>
      <c r="E12" s="302"/>
      <c r="F12" s="302"/>
      <c r="G12" s="302"/>
      <c r="H12" s="302"/>
      <c r="I12"/>
      <c r="J12"/>
      <c r="K12"/>
      <c r="L12"/>
      <c r="M12"/>
      <c r="N12"/>
      <c r="O12"/>
      <c r="P12"/>
      <c r="Q12"/>
      <c r="R12"/>
      <c r="S12"/>
      <c r="T12"/>
      <c r="U12"/>
      <c r="W12" s="131"/>
      <c r="X12" s="128"/>
      <c r="Y12" s="128"/>
      <c r="Z12" s="128"/>
      <c r="AA12" s="128"/>
      <c r="AB12" s="128"/>
      <c r="AC12" s="132"/>
      <c r="AD12" s="15"/>
      <c r="AT12" s="158"/>
      <c r="AU12" s="158"/>
      <c r="AV12" s="158"/>
      <c r="AW12" s="158"/>
      <c r="AX12" s="158"/>
      <c r="AY12" s="158"/>
      <c r="AZ12" s="158"/>
      <c r="BA12" s="158"/>
      <c r="BB12" s="158"/>
      <c r="BC12" s="158"/>
    </row>
    <row r="13" spans="1:57" ht="28.5" x14ac:dyDescent="0.45">
      <c r="A13" s="41"/>
      <c r="B13" s="41"/>
      <c r="C13" s="42"/>
      <c r="D13" s="43"/>
      <c r="E13" s="43"/>
      <c r="F13" s="42"/>
      <c r="G13" s="42"/>
      <c r="H13" s="42"/>
      <c r="I13" s="42"/>
      <c r="J13" s="42"/>
      <c r="K13" s="42"/>
      <c r="L13" s="42"/>
      <c r="M13" s="42"/>
      <c r="N13" s="74"/>
      <c r="O13" s="74"/>
      <c r="P13" s="42"/>
      <c r="Q13" s="42"/>
      <c r="R13" s="42"/>
      <c r="S13" s="42"/>
      <c r="T13" s="42"/>
      <c r="U13" s="43"/>
      <c r="W13" s="131"/>
      <c r="X13" s="128"/>
      <c r="Y13" s="128"/>
      <c r="Z13" s="128"/>
      <c r="AA13" s="128"/>
      <c r="AB13" s="128"/>
      <c r="AC13" s="132"/>
      <c r="AD13" s="15"/>
      <c r="AT13" s="158"/>
      <c r="AU13" s="158"/>
      <c r="AV13" s="158"/>
      <c r="AW13" s="158"/>
      <c r="AX13" s="158"/>
      <c r="AY13" s="158"/>
      <c r="AZ13" s="158"/>
      <c r="BA13" s="158"/>
      <c r="BB13" s="158"/>
      <c r="BC13" s="158"/>
    </row>
    <row r="14" spans="1:57" ht="61.5" customHeight="1" x14ac:dyDescent="0.55000000000000004">
      <c r="A14" s="246" t="s">
        <v>175</v>
      </c>
      <c r="B14" s="247"/>
      <c r="C14" s="247"/>
      <c r="D14" s="247"/>
      <c r="E14" s="247"/>
      <c r="F14" s="247"/>
      <c r="G14" s="247"/>
      <c r="H14" s="247"/>
      <c r="I14" s="247"/>
      <c r="J14" s="247"/>
      <c r="K14" s="247"/>
      <c r="L14" s="247"/>
      <c r="M14" s="247"/>
      <c r="N14" s="247"/>
      <c r="O14" s="247"/>
      <c r="P14" s="247"/>
      <c r="Q14" s="247"/>
      <c r="R14" s="247"/>
      <c r="S14" s="247"/>
      <c r="T14" s="247"/>
      <c r="U14" s="247"/>
      <c r="W14" s="131"/>
      <c r="X14" s="128"/>
      <c r="Y14" s="128"/>
      <c r="Z14" s="128"/>
      <c r="AA14" s="128"/>
      <c r="AB14" s="128"/>
      <c r="AC14" s="132"/>
      <c r="AD14" s="15"/>
      <c r="AT14" s="158"/>
      <c r="AU14" s="158"/>
      <c r="AV14" s="158"/>
      <c r="AW14" s="158"/>
      <c r="AX14" s="158"/>
      <c r="AY14" s="158"/>
      <c r="AZ14" s="158"/>
      <c r="BA14" s="158"/>
      <c r="BB14" s="158"/>
      <c r="BC14" s="158"/>
    </row>
    <row r="15" spans="1:57" s="15" customFormat="1" ht="24" customHeight="1" x14ac:dyDescent="0.5">
      <c r="A15" s="176"/>
      <c r="B15" s="176"/>
      <c r="C15" s="177"/>
      <c r="D15" s="177"/>
      <c r="E15" s="177"/>
      <c r="F15" s="177"/>
      <c r="G15" s="177"/>
      <c r="H15" s="177"/>
      <c r="I15" s="177"/>
      <c r="J15" s="177"/>
      <c r="K15" s="177"/>
      <c r="L15" s="177"/>
      <c r="M15" s="177"/>
      <c r="N15" s="177"/>
      <c r="O15" s="177"/>
      <c r="P15" s="177"/>
      <c r="Q15" s="177"/>
      <c r="R15" s="177"/>
      <c r="S15" s="177"/>
      <c r="T15" s="177"/>
      <c r="U15" s="177"/>
      <c r="W15" s="131"/>
      <c r="X15" s="128"/>
      <c r="Y15" s="128"/>
      <c r="Z15" s="128"/>
      <c r="AA15" s="128"/>
      <c r="AB15" s="128"/>
      <c r="AC15" s="132"/>
      <c r="AT15" s="159"/>
      <c r="AU15" s="159"/>
      <c r="AV15" s="159"/>
      <c r="AW15" s="159"/>
      <c r="AX15" s="159"/>
      <c r="AY15" s="159"/>
      <c r="AZ15" s="159"/>
      <c r="BA15" s="159"/>
      <c r="BB15" s="159"/>
      <c r="BC15" s="159"/>
    </row>
    <row r="16" spans="1:57" ht="72" customHeight="1" x14ac:dyDescent="0.45">
      <c r="A16" s="248" t="s">
        <v>176</v>
      </c>
      <c r="B16" s="249"/>
      <c r="C16" s="249"/>
      <c r="D16" s="249"/>
      <c r="E16" s="249"/>
      <c r="F16" s="249"/>
      <c r="G16" s="249"/>
      <c r="H16" s="249"/>
      <c r="I16" s="249"/>
      <c r="J16" s="249"/>
      <c r="K16" s="249"/>
      <c r="L16" s="249"/>
      <c r="M16" s="249"/>
      <c r="N16" s="249"/>
      <c r="O16" s="249"/>
      <c r="P16" s="249"/>
      <c r="Q16" s="249"/>
      <c r="R16" s="249"/>
      <c r="S16" s="249"/>
      <c r="T16" s="249"/>
      <c r="U16" s="249"/>
      <c r="W16" s="131"/>
      <c r="X16" s="128"/>
      <c r="Y16" s="128"/>
      <c r="Z16" s="128"/>
      <c r="AA16" s="128"/>
      <c r="AB16" s="128"/>
      <c r="AC16" s="132"/>
      <c r="AD16" s="15"/>
      <c r="AT16" s="158"/>
      <c r="AU16" s="158"/>
      <c r="AV16" s="158"/>
      <c r="AW16" s="158"/>
      <c r="AX16" s="158"/>
      <c r="AY16" s="158"/>
      <c r="AZ16" s="158"/>
      <c r="BA16" s="158"/>
      <c r="BB16" s="158"/>
      <c r="BC16" s="158"/>
    </row>
    <row r="17" spans="1:55" hidden="1" x14ac:dyDescent="0.25">
      <c r="W17" s="131"/>
      <c r="X17" s="128"/>
      <c r="Y17" s="128"/>
      <c r="Z17" s="128"/>
      <c r="AA17" s="128"/>
      <c r="AB17" s="128"/>
      <c r="AC17" s="132"/>
      <c r="AD17" s="15"/>
      <c r="AT17" s="158"/>
      <c r="AU17" s="158"/>
      <c r="AV17" s="158"/>
      <c r="AW17" s="158"/>
      <c r="AX17" s="158"/>
      <c r="AY17" s="158"/>
      <c r="AZ17" s="158"/>
      <c r="BA17" s="158"/>
      <c r="BB17" s="158"/>
      <c r="BC17" s="158"/>
    </row>
    <row r="18" spans="1:55" ht="35.1" hidden="1" customHeight="1" x14ac:dyDescent="0.25">
      <c r="A18" s="242"/>
      <c r="B18" s="242"/>
      <c r="C18" s="243"/>
      <c r="D18" s="243"/>
      <c r="E18" s="243"/>
      <c r="F18" s="243"/>
      <c r="G18" s="243"/>
      <c r="H18" s="243"/>
      <c r="I18" s="243"/>
      <c r="J18" s="243"/>
      <c r="K18" s="243"/>
      <c r="L18" s="243"/>
      <c r="M18" s="243"/>
      <c r="N18" s="243"/>
      <c r="O18" s="243"/>
      <c r="P18" s="243"/>
      <c r="Q18" s="243"/>
      <c r="R18" s="243"/>
      <c r="S18" s="243"/>
      <c r="T18" s="243"/>
      <c r="U18" s="243"/>
      <c r="W18" s="131"/>
      <c r="X18" s="128"/>
      <c r="Y18" s="128"/>
      <c r="Z18" s="128"/>
      <c r="AA18" s="128"/>
      <c r="AB18" s="128"/>
      <c r="AC18" s="132"/>
      <c r="AD18" s="15"/>
      <c r="AT18" s="158"/>
      <c r="AU18" s="158"/>
      <c r="AV18" s="158"/>
      <c r="AW18" s="158"/>
      <c r="AX18" s="158"/>
      <c r="AY18" s="158"/>
      <c r="AZ18" s="158"/>
      <c r="BA18" s="158"/>
      <c r="BB18" s="158"/>
      <c r="BC18" s="158"/>
    </row>
    <row r="19" spans="1:55" ht="36" customHeight="1" x14ac:dyDescent="0.25">
      <c r="A19" s="244"/>
      <c r="B19" s="245"/>
      <c r="C19" s="245"/>
      <c r="D19" s="245"/>
      <c r="E19" s="245"/>
      <c r="F19" s="245"/>
      <c r="G19" s="245"/>
      <c r="H19" s="245"/>
      <c r="I19" s="1"/>
      <c r="J19" s="1"/>
      <c r="K19" s="1"/>
      <c r="L19" s="1"/>
      <c r="M19" s="1"/>
      <c r="N19" s="1"/>
      <c r="O19" s="1"/>
      <c r="P19" s="1"/>
      <c r="Q19" s="1"/>
      <c r="R19" s="1"/>
      <c r="S19" s="1"/>
      <c r="T19" s="1"/>
      <c r="U19" s="1"/>
      <c r="W19" s="131"/>
      <c r="X19" s="128"/>
      <c r="Y19" s="128"/>
      <c r="Z19" s="128"/>
      <c r="AA19" s="128"/>
      <c r="AB19" s="128"/>
      <c r="AC19" s="132"/>
      <c r="AD19" s="15"/>
      <c r="AT19" s="158"/>
      <c r="AU19" s="158"/>
      <c r="AV19" s="158"/>
      <c r="AW19" s="158"/>
      <c r="AX19" s="158"/>
      <c r="AY19" s="158"/>
      <c r="AZ19" s="158"/>
      <c r="BA19" s="158"/>
      <c r="BB19" s="158"/>
      <c r="BC19" s="158"/>
    </row>
    <row r="20" spans="1:55" ht="30.2" customHeight="1" thickBot="1" x14ac:dyDescent="0.3">
      <c r="A20" s="209" t="str">
        <f>+A5</f>
        <v>Allan Wilsher - Polly</v>
      </c>
      <c r="B20" s="122"/>
      <c r="C20" s="122"/>
      <c r="D20" s="122"/>
      <c r="E20" s="122"/>
      <c r="F20" s="122"/>
      <c r="G20" s="122"/>
      <c r="H20" s="122"/>
      <c r="I20" s="122"/>
      <c r="J20" s="122"/>
      <c r="K20" s="122"/>
      <c r="L20" s="122"/>
      <c r="M20" s="122"/>
      <c r="N20" s="122"/>
      <c r="O20" s="122"/>
      <c r="P20" s="122"/>
      <c r="Q20" s="122"/>
      <c r="R20" s="122"/>
      <c r="S20" s="122"/>
      <c r="T20" s="122"/>
      <c r="U20" s="203">
        <f ca="1">+U2</f>
        <v>46308</v>
      </c>
      <c r="W20" s="133"/>
      <c r="X20" s="128"/>
      <c r="Y20" s="134"/>
      <c r="Z20" s="134"/>
      <c r="AA20" s="134"/>
      <c r="AB20" s="128"/>
      <c r="AC20" s="135"/>
      <c r="AD20" s="15"/>
      <c r="AT20" s="158"/>
      <c r="AU20" s="158"/>
      <c r="AV20" s="158"/>
      <c r="AW20" s="158"/>
      <c r="AX20" s="158"/>
      <c r="AY20" s="158"/>
      <c r="AZ20" s="158"/>
      <c r="BA20" s="158"/>
      <c r="BB20" s="158"/>
      <c r="BC20" s="158"/>
    </row>
    <row r="21" spans="1:55" s="170" customFormat="1" ht="204.75" customHeight="1" x14ac:dyDescent="0.25">
      <c r="A21" s="187" t="s">
        <v>181</v>
      </c>
      <c r="B21" s="187" t="s">
        <v>183</v>
      </c>
      <c r="C21" s="187" t="s">
        <v>47</v>
      </c>
      <c r="D21" s="187" t="s">
        <v>144</v>
      </c>
      <c r="E21" s="187" t="s">
        <v>145</v>
      </c>
      <c r="F21" s="187" t="s">
        <v>179</v>
      </c>
      <c r="G21" s="187" t="s">
        <v>72</v>
      </c>
      <c r="H21" s="187" t="s">
        <v>180</v>
      </c>
      <c r="I21" s="187" t="s">
        <v>55</v>
      </c>
      <c r="J21" s="187" t="s">
        <v>195</v>
      </c>
      <c r="K21" s="188" t="s">
        <v>2</v>
      </c>
      <c r="L21" s="188" t="s">
        <v>3</v>
      </c>
      <c r="M21" s="188" t="s">
        <v>4</v>
      </c>
      <c r="N21" s="187" t="s">
        <v>5</v>
      </c>
      <c r="O21" s="188" t="s">
        <v>164</v>
      </c>
      <c r="P21" s="189" t="s">
        <v>48</v>
      </c>
      <c r="Q21" s="188" t="s">
        <v>49</v>
      </c>
      <c r="R21" s="189" t="s">
        <v>50</v>
      </c>
      <c r="S21" s="190" t="s">
        <v>137</v>
      </c>
      <c r="T21" s="190" t="s">
        <v>196</v>
      </c>
      <c r="U21" s="191" t="s">
        <v>58</v>
      </c>
      <c r="W21" s="171"/>
      <c r="X21" s="207" t="s">
        <v>157</v>
      </c>
      <c r="Y21" s="171"/>
      <c r="Z21" s="171"/>
      <c r="AA21" s="171"/>
      <c r="AB21" s="206" t="s">
        <v>186</v>
      </c>
      <c r="AC21" s="171"/>
      <c r="AD21" s="171"/>
      <c r="AT21" s="172"/>
      <c r="AU21" s="172"/>
      <c r="AV21" s="172"/>
      <c r="AW21" s="172"/>
      <c r="AX21" s="172"/>
      <c r="AY21" s="172"/>
      <c r="AZ21" s="172"/>
      <c r="BA21" s="172"/>
      <c r="BB21" s="172"/>
      <c r="BC21" s="172"/>
    </row>
    <row r="22" spans="1:55" ht="243" customHeight="1" x14ac:dyDescent="0.25">
      <c r="A22" s="179">
        <v>1</v>
      </c>
      <c r="B22" s="180" t="s">
        <v>201</v>
      </c>
      <c r="C22" s="180" t="s">
        <v>219</v>
      </c>
      <c r="D22" s="198">
        <v>1819</v>
      </c>
      <c r="E22" s="198">
        <v>1235</v>
      </c>
      <c r="F22" s="180" t="s">
        <v>236</v>
      </c>
      <c r="G22" s="180" t="s">
        <v>239</v>
      </c>
      <c r="H22" s="180" t="s">
        <v>226</v>
      </c>
      <c r="I22" s="180" t="s">
        <v>131</v>
      </c>
      <c r="J22" s="180" t="s">
        <v>229</v>
      </c>
      <c r="K22" s="181">
        <v>585</v>
      </c>
      <c r="L22" s="182">
        <v>101</v>
      </c>
      <c r="M22" s="182">
        <f t="shared" ref="M22" si="0">+L22+K22</f>
        <v>686</v>
      </c>
      <c r="N22" s="194">
        <f>+M22*2.1</f>
        <v>1440.6000000000001</v>
      </c>
      <c r="O22" s="184"/>
      <c r="P22" s="183"/>
      <c r="Q22" s="184"/>
      <c r="R22" s="183"/>
      <c r="S22" s="185"/>
      <c r="T22" s="185"/>
      <c r="U22" s="186"/>
      <c r="W22" s="15"/>
      <c r="X22" s="173">
        <v>1.25</v>
      </c>
      <c r="Y22" s="15"/>
      <c r="Z22" s="15"/>
      <c r="AA22" s="15"/>
      <c r="AB22" s="204"/>
      <c r="AC22" s="15"/>
      <c r="AD22" s="15"/>
    </row>
    <row r="23" spans="1:55" ht="243" customHeight="1" x14ac:dyDescent="0.25">
      <c r="A23" s="179">
        <v>2</v>
      </c>
      <c r="B23" s="180" t="s">
        <v>202</v>
      </c>
      <c r="C23" s="180" t="s">
        <v>219</v>
      </c>
      <c r="D23" s="198">
        <v>676</v>
      </c>
      <c r="E23" s="198">
        <v>1216</v>
      </c>
      <c r="F23" s="180" t="s">
        <v>236</v>
      </c>
      <c r="G23" s="180" t="s">
        <v>240</v>
      </c>
      <c r="H23" s="180" t="s">
        <v>128</v>
      </c>
      <c r="I23" s="180" t="s">
        <v>131</v>
      </c>
      <c r="J23" s="180" t="s">
        <v>229</v>
      </c>
      <c r="K23" s="181">
        <v>200</v>
      </c>
      <c r="L23" s="182">
        <v>39</v>
      </c>
      <c r="M23" s="182">
        <f t="shared" ref="M23:M86" si="1">+L23+K23</f>
        <v>239</v>
      </c>
      <c r="N23" s="194">
        <f t="shared" ref="N23:N86" si="2">+M23*2.1</f>
        <v>501.90000000000003</v>
      </c>
      <c r="O23" s="184"/>
      <c r="P23" s="183"/>
      <c r="Q23" s="184"/>
      <c r="R23" s="183"/>
      <c r="S23" s="185"/>
      <c r="T23" s="185"/>
      <c r="U23" s="186"/>
      <c r="W23" s="15"/>
      <c r="X23" s="173">
        <v>0.5</v>
      </c>
      <c r="Y23" s="15"/>
      <c r="Z23" s="15"/>
      <c r="AA23" s="15"/>
      <c r="AB23" s="204"/>
      <c r="AC23" s="15"/>
      <c r="AD23" s="15"/>
    </row>
    <row r="24" spans="1:55" ht="243" customHeight="1" x14ac:dyDescent="0.25">
      <c r="A24" s="179">
        <v>3</v>
      </c>
      <c r="B24" s="180" t="s">
        <v>203</v>
      </c>
      <c r="C24" s="180" t="s">
        <v>219</v>
      </c>
      <c r="D24" s="198">
        <v>1768</v>
      </c>
      <c r="E24" s="198">
        <v>1216</v>
      </c>
      <c r="F24" s="180" t="s">
        <v>236</v>
      </c>
      <c r="G24" s="180" t="s">
        <v>239</v>
      </c>
      <c r="H24" s="180" t="s">
        <v>227</v>
      </c>
      <c r="I24" s="180" t="s">
        <v>131</v>
      </c>
      <c r="J24" s="180" t="s">
        <v>229</v>
      </c>
      <c r="K24" s="181">
        <v>590</v>
      </c>
      <c r="L24" s="182">
        <v>95</v>
      </c>
      <c r="M24" s="182">
        <f t="shared" si="1"/>
        <v>685</v>
      </c>
      <c r="N24" s="194">
        <f t="shared" si="2"/>
        <v>1438.5</v>
      </c>
      <c r="O24" s="184"/>
      <c r="P24" s="183"/>
      <c r="Q24" s="184"/>
      <c r="R24" s="183"/>
      <c r="S24" s="185"/>
      <c r="T24" s="185"/>
      <c r="U24" s="186"/>
      <c r="W24" s="15"/>
      <c r="X24" s="173">
        <v>1.25</v>
      </c>
      <c r="Y24" s="15"/>
      <c r="Z24" s="15"/>
      <c r="AA24" s="15"/>
      <c r="AB24" s="204"/>
      <c r="AC24" s="15"/>
      <c r="AD24" s="15"/>
    </row>
    <row r="25" spans="1:55" ht="243" customHeight="1" x14ac:dyDescent="0.25">
      <c r="A25" s="179">
        <v>4</v>
      </c>
      <c r="B25" s="180" t="s">
        <v>204</v>
      </c>
      <c r="C25" s="180" t="s">
        <v>219</v>
      </c>
      <c r="D25" s="198">
        <v>1817</v>
      </c>
      <c r="E25" s="198">
        <v>1081</v>
      </c>
      <c r="F25" s="180" t="s">
        <v>236</v>
      </c>
      <c r="G25" s="180" t="s">
        <v>239</v>
      </c>
      <c r="H25" s="180" t="s">
        <v>226</v>
      </c>
      <c r="I25" s="180" t="s">
        <v>131</v>
      </c>
      <c r="J25" s="180" t="s">
        <v>229</v>
      </c>
      <c r="K25" s="181">
        <v>631</v>
      </c>
      <c r="L25" s="182">
        <v>85</v>
      </c>
      <c r="M25" s="182">
        <f t="shared" si="1"/>
        <v>716</v>
      </c>
      <c r="N25" s="194">
        <f t="shared" si="2"/>
        <v>1503.6000000000001</v>
      </c>
      <c r="O25" s="184"/>
      <c r="P25" s="183"/>
      <c r="Q25" s="184"/>
      <c r="R25" s="183"/>
      <c r="S25" s="185"/>
      <c r="T25" s="185" t="s">
        <v>225</v>
      </c>
      <c r="U25" s="186"/>
      <c r="W25" s="15"/>
      <c r="X25" s="173">
        <v>1.25</v>
      </c>
      <c r="Y25" s="15"/>
      <c r="Z25" s="15"/>
      <c r="AA25" s="15"/>
      <c r="AB25" s="204"/>
      <c r="AC25" s="15"/>
      <c r="AD25" s="15"/>
    </row>
    <row r="26" spans="1:55" ht="243" customHeight="1" x14ac:dyDescent="0.25">
      <c r="A26" s="179">
        <v>5</v>
      </c>
      <c r="B26" s="180" t="s">
        <v>205</v>
      </c>
      <c r="C26" s="180" t="s">
        <v>219</v>
      </c>
      <c r="D26" s="198">
        <v>1214</v>
      </c>
      <c r="E26" s="198">
        <v>1081</v>
      </c>
      <c r="F26" s="180" t="s">
        <v>236</v>
      </c>
      <c r="G26" s="180" t="s">
        <v>241</v>
      </c>
      <c r="H26" s="180" t="s">
        <v>226</v>
      </c>
      <c r="I26" s="180" t="s">
        <v>131</v>
      </c>
      <c r="J26" s="180" t="s">
        <v>229</v>
      </c>
      <c r="K26" s="181">
        <v>452</v>
      </c>
      <c r="L26" s="182">
        <v>57</v>
      </c>
      <c r="M26" s="182">
        <f t="shared" si="1"/>
        <v>509</v>
      </c>
      <c r="N26" s="194">
        <f t="shared" si="2"/>
        <v>1068.9000000000001</v>
      </c>
      <c r="O26" s="184"/>
      <c r="P26" s="183"/>
      <c r="Q26" s="184"/>
      <c r="R26" s="183"/>
      <c r="S26" s="185"/>
      <c r="T26" s="185" t="s">
        <v>225</v>
      </c>
      <c r="U26" s="186"/>
      <c r="W26" s="15"/>
      <c r="X26" s="173">
        <v>0.75</v>
      </c>
      <c r="Y26" s="15"/>
      <c r="Z26" s="15"/>
      <c r="AA26" s="15"/>
      <c r="AB26" s="204"/>
      <c r="AC26" s="15"/>
      <c r="AD26" s="15"/>
    </row>
    <row r="27" spans="1:55" ht="243" customHeight="1" x14ac:dyDescent="0.25">
      <c r="A27" s="179">
        <v>6</v>
      </c>
      <c r="B27" s="180" t="s">
        <v>206</v>
      </c>
      <c r="C27" s="180" t="s">
        <v>219</v>
      </c>
      <c r="D27" s="198">
        <v>1817</v>
      </c>
      <c r="E27" s="198">
        <v>1058</v>
      </c>
      <c r="F27" s="180" t="s">
        <v>236</v>
      </c>
      <c r="G27" s="180" t="s">
        <v>239</v>
      </c>
      <c r="H27" s="180" t="s">
        <v>227</v>
      </c>
      <c r="I27" s="180" t="s">
        <v>131</v>
      </c>
      <c r="J27" s="180" t="s">
        <v>229</v>
      </c>
      <c r="K27" s="181">
        <v>561</v>
      </c>
      <c r="L27" s="182">
        <v>85</v>
      </c>
      <c r="M27" s="182">
        <f t="shared" si="1"/>
        <v>646</v>
      </c>
      <c r="N27" s="194">
        <f t="shared" si="2"/>
        <v>1356.6000000000001</v>
      </c>
      <c r="O27" s="184"/>
      <c r="P27" s="183"/>
      <c r="Q27" s="184"/>
      <c r="R27" s="183"/>
      <c r="S27" s="185"/>
      <c r="T27" s="185"/>
      <c r="U27" s="186"/>
      <c r="W27" s="15"/>
      <c r="X27" s="173">
        <v>1.25</v>
      </c>
      <c r="Y27" s="15"/>
      <c r="Z27" s="15"/>
      <c r="AA27" s="15"/>
      <c r="AB27" s="204"/>
      <c r="AC27" s="15"/>
      <c r="AD27" s="15"/>
    </row>
    <row r="28" spans="1:55" ht="243" customHeight="1" x14ac:dyDescent="0.25">
      <c r="A28" s="179">
        <v>7</v>
      </c>
      <c r="B28" s="180" t="s">
        <v>207</v>
      </c>
      <c r="C28" s="180" t="s">
        <v>220</v>
      </c>
      <c r="D28" s="198">
        <v>690</v>
      </c>
      <c r="E28" s="198">
        <v>2375</v>
      </c>
      <c r="F28" s="180" t="s">
        <v>238</v>
      </c>
      <c r="G28" s="180" t="s">
        <v>228</v>
      </c>
      <c r="H28" s="180" t="s">
        <v>128</v>
      </c>
      <c r="I28" s="180" t="s">
        <v>131</v>
      </c>
      <c r="J28" s="180" t="s">
        <v>140</v>
      </c>
      <c r="K28" s="181">
        <v>127</v>
      </c>
      <c r="L28" s="182">
        <v>77</v>
      </c>
      <c r="M28" s="182">
        <f t="shared" si="1"/>
        <v>204</v>
      </c>
      <c r="N28" s="194">
        <f>+M28*2.3</f>
        <v>469.2</v>
      </c>
      <c r="O28" s="184"/>
      <c r="P28" s="183"/>
      <c r="Q28" s="184"/>
      <c r="R28" s="183"/>
      <c r="S28" s="185"/>
      <c r="T28" s="185"/>
      <c r="U28" s="186"/>
      <c r="W28" s="15"/>
      <c r="X28" s="173">
        <v>0.5</v>
      </c>
      <c r="Y28" s="15"/>
      <c r="Z28" s="15"/>
      <c r="AA28" s="15"/>
      <c r="AB28" s="204"/>
      <c r="AC28" s="15"/>
      <c r="AD28" s="15"/>
    </row>
    <row r="29" spans="1:55" ht="243" customHeight="1" x14ac:dyDescent="0.25">
      <c r="A29" s="179">
        <v>8</v>
      </c>
      <c r="B29" s="180" t="s">
        <v>208</v>
      </c>
      <c r="C29" s="180" t="s">
        <v>219</v>
      </c>
      <c r="D29" s="198">
        <v>627</v>
      </c>
      <c r="E29" s="198">
        <v>898</v>
      </c>
      <c r="F29" s="180" t="s">
        <v>236</v>
      </c>
      <c r="G29" s="180" t="s">
        <v>240</v>
      </c>
      <c r="H29" s="180" t="s">
        <v>227</v>
      </c>
      <c r="I29" s="180" t="s">
        <v>131</v>
      </c>
      <c r="J29" s="180" t="s">
        <v>229</v>
      </c>
      <c r="K29" s="181">
        <v>208</v>
      </c>
      <c r="L29" s="182">
        <v>24</v>
      </c>
      <c r="M29" s="182">
        <f t="shared" si="1"/>
        <v>232</v>
      </c>
      <c r="N29" s="194">
        <f t="shared" si="2"/>
        <v>487.20000000000005</v>
      </c>
      <c r="O29" s="184"/>
      <c r="P29" s="183"/>
      <c r="Q29" s="184"/>
      <c r="R29" s="183"/>
      <c r="S29" s="185"/>
      <c r="T29" s="185"/>
      <c r="U29" s="186"/>
      <c r="W29" s="15"/>
      <c r="X29" s="173">
        <v>0.5</v>
      </c>
      <c r="Y29" s="15"/>
      <c r="Z29" s="15"/>
      <c r="AA29" s="15"/>
      <c r="AB29" s="204"/>
      <c r="AC29" s="15"/>
      <c r="AD29" s="15"/>
    </row>
    <row r="30" spans="1:55" ht="243" customHeight="1" x14ac:dyDescent="0.25">
      <c r="A30" s="493">
        <v>9</v>
      </c>
      <c r="B30" s="180" t="s">
        <v>209</v>
      </c>
      <c r="C30" s="180" t="s">
        <v>221</v>
      </c>
      <c r="D30" s="198">
        <v>2752</v>
      </c>
      <c r="E30" s="198">
        <v>2375</v>
      </c>
      <c r="F30" s="492" t="s">
        <v>238</v>
      </c>
      <c r="G30" s="180" t="s">
        <v>231</v>
      </c>
      <c r="H30" s="180" t="s">
        <v>128</v>
      </c>
      <c r="I30" s="180" t="s">
        <v>146</v>
      </c>
      <c r="J30" s="492" t="s">
        <v>244</v>
      </c>
      <c r="K30" s="181">
        <v>1277</v>
      </c>
      <c r="L30" s="182">
        <v>315</v>
      </c>
      <c r="M30" s="182">
        <f t="shared" si="1"/>
        <v>1592</v>
      </c>
      <c r="N30" s="194">
        <v>3723.3</v>
      </c>
      <c r="O30" s="184"/>
      <c r="P30" s="183"/>
      <c r="Q30" s="184"/>
      <c r="R30" s="183"/>
      <c r="S30" s="185"/>
      <c r="T30" s="185"/>
      <c r="U30" s="186"/>
      <c r="W30" s="15"/>
      <c r="X30" s="173"/>
      <c r="Y30" s="15"/>
      <c r="Z30" s="15"/>
      <c r="AA30" s="15"/>
      <c r="AB30" s="204">
        <v>2</v>
      </c>
      <c r="AC30" s="15"/>
      <c r="AD30" s="15"/>
    </row>
    <row r="31" spans="1:55" ht="243" customHeight="1" x14ac:dyDescent="0.25">
      <c r="A31" s="493">
        <v>10</v>
      </c>
      <c r="B31" s="180" t="s">
        <v>210</v>
      </c>
      <c r="C31" s="180" t="s">
        <v>222</v>
      </c>
      <c r="D31" s="198">
        <v>1748</v>
      </c>
      <c r="E31" s="198">
        <v>2095</v>
      </c>
      <c r="F31" s="492" t="s">
        <v>236</v>
      </c>
      <c r="G31" s="180" t="s">
        <v>232</v>
      </c>
      <c r="H31" s="180" t="s">
        <v>128</v>
      </c>
      <c r="I31" s="180" t="s">
        <v>146</v>
      </c>
      <c r="J31" s="492" t="s">
        <v>236</v>
      </c>
      <c r="K31" s="181">
        <v>976</v>
      </c>
      <c r="L31" s="182">
        <v>162</v>
      </c>
      <c r="M31" s="182">
        <f t="shared" si="1"/>
        <v>1138</v>
      </c>
      <c r="N31" s="194">
        <v>2483</v>
      </c>
      <c r="O31" s="184"/>
      <c r="P31" s="183"/>
      <c r="Q31" s="184"/>
      <c r="R31" s="183"/>
      <c r="S31" s="185"/>
      <c r="T31" s="185"/>
      <c r="U31" s="186"/>
      <c r="W31" s="15"/>
      <c r="X31" s="173"/>
      <c r="Y31" s="15"/>
      <c r="Z31" s="15"/>
      <c r="AA31" s="15"/>
      <c r="AB31" s="204">
        <v>2</v>
      </c>
      <c r="AC31" s="15"/>
      <c r="AD31" s="15"/>
    </row>
    <row r="32" spans="1:55" ht="243" customHeight="1" x14ac:dyDescent="0.25">
      <c r="A32" s="179">
        <v>11</v>
      </c>
      <c r="B32" s="180" t="s">
        <v>211</v>
      </c>
      <c r="C32" s="180" t="s">
        <v>219</v>
      </c>
      <c r="D32" s="198">
        <v>1200</v>
      </c>
      <c r="E32" s="198">
        <v>1208</v>
      </c>
      <c r="F32" s="180" t="s">
        <v>236</v>
      </c>
      <c r="G32" s="180" t="s">
        <v>241</v>
      </c>
      <c r="H32" s="180" t="s">
        <v>227</v>
      </c>
      <c r="I32" s="180" t="s">
        <v>131</v>
      </c>
      <c r="J32" s="180" t="s">
        <v>229</v>
      </c>
      <c r="K32" s="181">
        <v>398</v>
      </c>
      <c r="L32" s="182">
        <v>63</v>
      </c>
      <c r="M32" s="182">
        <f t="shared" si="1"/>
        <v>461</v>
      </c>
      <c r="N32" s="194">
        <f t="shared" si="2"/>
        <v>968.1</v>
      </c>
      <c r="O32" s="184"/>
      <c r="P32" s="183"/>
      <c r="Q32" s="184"/>
      <c r="R32" s="183"/>
      <c r="S32" s="185"/>
      <c r="T32" s="185"/>
      <c r="U32" s="186"/>
      <c r="W32" s="15"/>
      <c r="X32" s="173">
        <v>0.75</v>
      </c>
      <c r="Y32" s="15"/>
      <c r="Z32" s="15"/>
      <c r="AA32" s="15"/>
      <c r="AB32" s="204"/>
      <c r="AC32" s="15"/>
      <c r="AD32" s="15"/>
    </row>
    <row r="33" spans="1:30" ht="243" customHeight="1" x14ac:dyDescent="0.25">
      <c r="A33" s="179">
        <v>12</v>
      </c>
      <c r="B33" s="180" t="s">
        <v>212</v>
      </c>
      <c r="C33" s="180" t="s">
        <v>219</v>
      </c>
      <c r="D33" s="198">
        <v>1229</v>
      </c>
      <c r="E33" s="198">
        <v>1073</v>
      </c>
      <c r="F33" s="180" t="s">
        <v>236</v>
      </c>
      <c r="G33" s="180" t="s">
        <v>241</v>
      </c>
      <c r="H33" s="180" t="s">
        <v>227</v>
      </c>
      <c r="I33" s="180" t="s">
        <v>131</v>
      </c>
      <c r="J33" s="180" t="s">
        <v>229</v>
      </c>
      <c r="K33" s="181">
        <v>387</v>
      </c>
      <c r="L33" s="182">
        <v>57</v>
      </c>
      <c r="M33" s="182">
        <f t="shared" si="1"/>
        <v>444</v>
      </c>
      <c r="N33" s="194">
        <f t="shared" si="2"/>
        <v>932.40000000000009</v>
      </c>
      <c r="O33" s="184"/>
      <c r="P33" s="183"/>
      <c r="Q33" s="184"/>
      <c r="R33" s="183"/>
      <c r="S33" s="185"/>
      <c r="T33" s="185"/>
      <c r="U33" s="186"/>
      <c r="W33" s="15"/>
      <c r="X33" s="173">
        <v>0.75</v>
      </c>
      <c r="Y33" s="15"/>
      <c r="Z33" s="15"/>
      <c r="AA33" s="15"/>
      <c r="AB33" s="204"/>
      <c r="AC33" s="15"/>
      <c r="AD33" s="15"/>
    </row>
    <row r="34" spans="1:30" ht="243" customHeight="1" x14ac:dyDescent="0.25">
      <c r="A34" s="179">
        <v>13</v>
      </c>
      <c r="B34" s="180" t="s">
        <v>213</v>
      </c>
      <c r="C34" s="180" t="s">
        <v>219</v>
      </c>
      <c r="D34" s="198">
        <v>1199</v>
      </c>
      <c r="E34" s="198">
        <v>1062</v>
      </c>
      <c r="F34" s="180" t="s">
        <v>236</v>
      </c>
      <c r="G34" s="180" t="s">
        <v>241</v>
      </c>
      <c r="H34" s="180" t="s">
        <v>227</v>
      </c>
      <c r="I34" s="180" t="s">
        <v>131</v>
      </c>
      <c r="J34" s="180" t="s">
        <v>229</v>
      </c>
      <c r="K34" s="181">
        <v>454</v>
      </c>
      <c r="L34" s="182">
        <v>55</v>
      </c>
      <c r="M34" s="182">
        <f t="shared" si="1"/>
        <v>509</v>
      </c>
      <c r="N34" s="194">
        <f t="shared" si="2"/>
        <v>1068.9000000000001</v>
      </c>
      <c r="O34" s="184"/>
      <c r="P34" s="183"/>
      <c r="Q34" s="184"/>
      <c r="R34" s="183"/>
      <c r="S34" s="185"/>
      <c r="T34" s="185" t="s">
        <v>225</v>
      </c>
      <c r="U34" s="186"/>
      <c r="W34" s="15"/>
      <c r="X34" s="173">
        <v>0.75</v>
      </c>
      <c r="Y34" s="15"/>
      <c r="Z34" s="15"/>
      <c r="AA34" s="15"/>
      <c r="AB34" s="204"/>
      <c r="AC34" s="15"/>
      <c r="AD34" s="15"/>
    </row>
    <row r="35" spans="1:30" ht="243" customHeight="1" x14ac:dyDescent="0.25">
      <c r="A35" s="179">
        <v>14</v>
      </c>
      <c r="B35" s="180" t="s">
        <v>214</v>
      </c>
      <c r="C35" s="180" t="s">
        <v>219</v>
      </c>
      <c r="D35" s="198">
        <v>1199</v>
      </c>
      <c r="E35" s="198">
        <v>1062</v>
      </c>
      <c r="F35" s="180" t="s">
        <v>236</v>
      </c>
      <c r="G35" s="180" t="s">
        <v>241</v>
      </c>
      <c r="H35" s="180" t="s">
        <v>227</v>
      </c>
      <c r="I35" s="180" t="s">
        <v>131</v>
      </c>
      <c r="J35" s="180" t="s">
        <v>229</v>
      </c>
      <c r="K35" s="181">
        <v>454</v>
      </c>
      <c r="L35" s="182">
        <v>55</v>
      </c>
      <c r="M35" s="182">
        <f t="shared" si="1"/>
        <v>509</v>
      </c>
      <c r="N35" s="194">
        <f t="shared" si="2"/>
        <v>1068.9000000000001</v>
      </c>
      <c r="O35" s="184"/>
      <c r="P35" s="183"/>
      <c r="Q35" s="184"/>
      <c r="R35" s="183"/>
      <c r="S35" s="185"/>
      <c r="T35" s="185" t="s">
        <v>225</v>
      </c>
      <c r="U35" s="186"/>
      <c r="W35" s="15"/>
      <c r="X35" s="173">
        <v>0.75</v>
      </c>
      <c r="Y35" s="15"/>
      <c r="Z35" s="15"/>
      <c r="AA35" s="15"/>
      <c r="AB35" s="204"/>
      <c r="AC35" s="15"/>
      <c r="AD35" s="15"/>
    </row>
    <row r="36" spans="1:30" ht="243" customHeight="1" x14ac:dyDescent="0.25">
      <c r="A36" s="179">
        <v>15</v>
      </c>
      <c r="B36" s="180" t="s">
        <v>215</v>
      </c>
      <c r="C36" s="180" t="s">
        <v>220</v>
      </c>
      <c r="D36" s="198">
        <v>690</v>
      </c>
      <c r="E36" s="198">
        <v>2375</v>
      </c>
      <c r="F36" s="180" t="s">
        <v>238</v>
      </c>
      <c r="G36" s="180" t="s">
        <v>228</v>
      </c>
      <c r="H36" s="180" t="s">
        <v>128</v>
      </c>
      <c r="I36" s="180" t="s">
        <v>131</v>
      </c>
      <c r="J36" s="180" t="s">
        <v>140</v>
      </c>
      <c r="K36" s="181">
        <v>127</v>
      </c>
      <c r="L36" s="182">
        <v>77</v>
      </c>
      <c r="M36" s="182">
        <f t="shared" ref="M36:M38" si="3">+L36+K36</f>
        <v>204</v>
      </c>
      <c r="N36" s="194">
        <f>+M36*2.3</f>
        <v>469.2</v>
      </c>
      <c r="O36" s="184"/>
      <c r="P36" s="183"/>
      <c r="Q36" s="184"/>
      <c r="R36" s="183"/>
      <c r="S36" s="185"/>
      <c r="T36" s="185"/>
      <c r="U36" s="186"/>
      <c r="W36" s="15"/>
      <c r="X36" s="173">
        <v>0.5</v>
      </c>
      <c r="Y36" s="15"/>
      <c r="Z36" s="15"/>
      <c r="AA36" s="15"/>
      <c r="AB36" s="204"/>
      <c r="AC36" s="15"/>
      <c r="AD36" s="15"/>
    </row>
    <row r="37" spans="1:30" ht="243" customHeight="1" x14ac:dyDescent="0.25">
      <c r="A37" s="179">
        <v>16</v>
      </c>
      <c r="B37" s="180" t="s">
        <v>216</v>
      </c>
      <c r="C37" s="180" t="s">
        <v>219</v>
      </c>
      <c r="D37" s="198">
        <v>685</v>
      </c>
      <c r="E37" s="198">
        <v>900</v>
      </c>
      <c r="F37" s="180" t="s">
        <v>236</v>
      </c>
      <c r="G37" s="180" t="s">
        <v>242</v>
      </c>
      <c r="H37" s="180" t="s">
        <v>227</v>
      </c>
      <c r="I37" s="180" t="s">
        <v>131</v>
      </c>
      <c r="J37" s="180" t="s">
        <v>229</v>
      </c>
      <c r="K37" s="181">
        <v>211</v>
      </c>
      <c r="L37" s="182">
        <v>26</v>
      </c>
      <c r="M37" s="182">
        <f t="shared" si="3"/>
        <v>237</v>
      </c>
      <c r="N37" s="194">
        <f t="shared" ref="N37:N38" si="4">+M37*2.1</f>
        <v>497.70000000000005</v>
      </c>
      <c r="O37" s="184"/>
      <c r="P37" s="183"/>
      <c r="Q37" s="184"/>
      <c r="R37" s="183"/>
      <c r="S37" s="185"/>
      <c r="T37" s="185"/>
      <c r="U37" s="186"/>
      <c r="W37" s="15"/>
      <c r="X37" s="173">
        <v>0.5</v>
      </c>
      <c r="Y37" s="15"/>
      <c r="Z37" s="15"/>
      <c r="AA37" s="15"/>
      <c r="AB37" s="204"/>
      <c r="AC37" s="15"/>
      <c r="AD37" s="15"/>
    </row>
    <row r="38" spans="1:30" ht="243" customHeight="1" x14ac:dyDescent="0.25">
      <c r="A38" s="179">
        <v>17</v>
      </c>
      <c r="B38" s="180" t="s">
        <v>217</v>
      </c>
      <c r="C38" s="180" t="s">
        <v>219</v>
      </c>
      <c r="D38" s="198">
        <v>1202</v>
      </c>
      <c r="E38" s="198">
        <v>1090</v>
      </c>
      <c r="F38" s="180" t="s">
        <v>236</v>
      </c>
      <c r="G38" s="180" t="s">
        <v>241</v>
      </c>
      <c r="H38" s="180" t="s">
        <v>226</v>
      </c>
      <c r="I38" s="180" t="s">
        <v>131</v>
      </c>
      <c r="J38" s="180" t="s">
        <v>229</v>
      </c>
      <c r="K38" s="181">
        <v>454</v>
      </c>
      <c r="L38" s="182">
        <v>55</v>
      </c>
      <c r="M38" s="182">
        <f t="shared" si="3"/>
        <v>509</v>
      </c>
      <c r="N38" s="194">
        <f t="shared" si="4"/>
        <v>1068.9000000000001</v>
      </c>
      <c r="O38" s="184"/>
      <c r="P38" s="183"/>
      <c r="Q38" s="184"/>
      <c r="R38" s="183"/>
      <c r="S38" s="185"/>
      <c r="T38" s="185" t="s">
        <v>225</v>
      </c>
      <c r="U38" s="186"/>
      <c r="W38" s="15"/>
      <c r="X38" s="173">
        <v>0.75</v>
      </c>
      <c r="Y38" s="15"/>
      <c r="Z38" s="15"/>
      <c r="AA38" s="15"/>
      <c r="AB38" s="204"/>
      <c r="AC38" s="15"/>
      <c r="AD38" s="15"/>
    </row>
    <row r="39" spans="1:30" ht="243" customHeight="1" x14ac:dyDescent="0.25">
      <c r="A39" s="179">
        <v>18</v>
      </c>
      <c r="B39" s="180" t="s">
        <v>218</v>
      </c>
      <c r="C39" s="180" t="s">
        <v>223</v>
      </c>
      <c r="D39" s="198">
        <v>2500</v>
      </c>
      <c r="E39" s="198">
        <v>1500</v>
      </c>
      <c r="F39" s="180" t="s">
        <v>237</v>
      </c>
      <c r="G39" s="180" t="s">
        <v>224</v>
      </c>
      <c r="H39" s="180" t="s">
        <v>140</v>
      </c>
      <c r="I39" s="180" t="s">
        <v>140</v>
      </c>
      <c r="J39" s="180" t="s">
        <v>140</v>
      </c>
      <c r="K39" s="181">
        <v>1036</v>
      </c>
      <c r="L39" s="182"/>
      <c r="M39" s="182">
        <f t="shared" si="1"/>
        <v>1036</v>
      </c>
      <c r="N39" s="194">
        <f>+M39*2.6</f>
        <v>2693.6</v>
      </c>
      <c r="O39" s="184"/>
      <c r="P39" s="183"/>
      <c r="Q39" s="184"/>
      <c r="R39" s="183"/>
      <c r="S39" s="185"/>
      <c r="T39" s="185"/>
      <c r="U39" s="186"/>
      <c r="W39" s="15"/>
      <c r="X39" s="173"/>
      <c r="Y39" s="15"/>
      <c r="Z39" s="228"/>
      <c r="AA39" s="15"/>
      <c r="AB39" s="204">
        <v>1.5</v>
      </c>
      <c r="AC39" s="15"/>
      <c r="AD39" s="15"/>
    </row>
    <row r="40" spans="1:30" ht="243" hidden="1" customHeight="1" x14ac:dyDescent="0.25">
      <c r="A40" s="179">
        <v>19</v>
      </c>
      <c r="B40" s="180"/>
      <c r="C40" s="180"/>
      <c r="D40" s="198"/>
      <c r="E40" s="198"/>
      <c r="F40" s="180"/>
      <c r="G40" s="180"/>
      <c r="H40" s="180"/>
      <c r="I40" s="180"/>
      <c r="J40" s="180"/>
      <c r="K40" s="181"/>
      <c r="L40" s="182"/>
      <c r="M40" s="182">
        <f t="shared" si="1"/>
        <v>0</v>
      </c>
      <c r="N40" s="194">
        <f t="shared" si="2"/>
        <v>0</v>
      </c>
      <c r="O40" s="184"/>
      <c r="P40" s="183"/>
      <c r="Q40" s="184"/>
      <c r="R40" s="183"/>
      <c r="S40" s="185"/>
      <c r="T40" s="185"/>
      <c r="U40" s="186"/>
      <c r="W40" s="15"/>
      <c r="X40" s="173"/>
      <c r="Y40" s="15"/>
      <c r="Z40" s="15"/>
      <c r="AA40" s="15"/>
      <c r="AB40" s="204"/>
      <c r="AC40" s="15"/>
      <c r="AD40" s="15"/>
    </row>
    <row r="41" spans="1:30" ht="243" hidden="1" customHeight="1" x14ac:dyDescent="0.25">
      <c r="A41" s="179">
        <v>20</v>
      </c>
      <c r="B41" s="180"/>
      <c r="C41" s="180"/>
      <c r="D41" s="198"/>
      <c r="E41" s="198"/>
      <c r="F41" s="180"/>
      <c r="G41" s="180"/>
      <c r="H41" s="180"/>
      <c r="I41" s="180"/>
      <c r="J41" s="180"/>
      <c r="K41" s="181"/>
      <c r="L41" s="182"/>
      <c r="M41" s="182">
        <f t="shared" si="1"/>
        <v>0</v>
      </c>
      <c r="N41" s="194">
        <f t="shared" si="2"/>
        <v>0</v>
      </c>
      <c r="O41" s="184"/>
      <c r="P41" s="183"/>
      <c r="Q41" s="184"/>
      <c r="R41" s="183"/>
      <c r="S41" s="185"/>
      <c r="T41" s="185"/>
      <c r="U41" s="186"/>
      <c r="W41" s="15"/>
      <c r="X41" s="173"/>
      <c r="Y41" s="15"/>
      <c r="Z41" s="15"/>
      <c r="AA41" s="15"/>
      <c r="AB41" s="204"/>
      <c r="AC41" s="15"/>
      <c r="AD41" s="15"/>
    </row>
    <row r="42" spans="1:30" ht="243" hidden="1" customHeight="1" x14ac:dyDescent="0.25">
      <c r="A42" s="179">
        <v>21</v>
      </c>
      <c r="B42" s="180"/>
      <c r="C42" s="180"/>
      <c r="D42" s="198"/>
      <c r="E42" s="198"/>
      <c r="F42" s="180"/>
      <c r="G42" s="180"/>
      <c r="H42" s="180"/>
      <c r="I42" s="180"/>
      <c r="J42" s="180"/>
      <c r="K42" s="181"/>
      <c r="L42" s="182"/>
      <c r="M42" s="182">
        <f t="shared" si="1"/>
        <v>0</v>
      </c>
      <c r="N42" s="194">
        <f t="shared" si="2"/>
        <v>0</v>
      </c>
      <c r="O42" s="184"/>
      <c r="P42" s="183"/>
      <c r="Q42" s="184"/>
      <c r="R42" s="183"/>
      <c r="S42" s="185"/>
      <c r="T42" s="185"/>
      <c r="U42" s="186"/>
      <c r="W42" s="15"/>
      <c r="X42" s="173"/>
      <c r="Y42" s="15"/>
      <c r="Z42" s="15"/>
      <c r="AA42" s="15"/>
      <c r="AB42" s="204"/>
      <c r="AC42" s="15"/>
      <c r="AD42" s="15"/>
    </row>
    <row r="43" spans="1:30" ht="243" hidden="1" customHeight="1" x14ac:dyDescent="0.25">
      <c r="A43" s="179">
        <v>22</v>
      </c>
      <c r="B43" s="180"/>
      <c r="C43" s="180"/>
      <c r="D43" s="198"/>
      <c r="E43" s="198"/>
      <c r="F43" s="180"/>
      <c r="G43" s="180"/>
      <c r="H43" s="180"/>
      <c r="I43" s="180"/>
      <c r="J43" s="180"/>
      <c r="K43" s="181"/>
      <c r="L43" s="182"/>
      <c r="M43" s="182">
        <f t="shared" si="1"/>
        <v>0</v>
      </c>
      <c r="N43" s="194">
        <f t="shared" si="2"/>
        <v>0</v>
      </c>
      <c r="O43" s="184"/>
      <c r="P43" s="183"/>
      <c r="Q43" s="184"/>
      <c r="R43" s="183"/>
      <c r="S43" s="185"/>
      <c r="T43" s="185"/>
      <c r="U43" s="186"/>
      <c r="W43" s="15"/>
      <c r="X43" s="173"/>
      <c r="Y43" s="15"/>
      <c r="Z43" s="15"/>
      <c r="AA43" s="15"/>
      <c r="AB43" s="204"/>
      <c r="AC43" s="15"/>
      <c r="AD43" s="15"/>
    </row>
    <row r="44" spans="1:30" ht="243" hidden="1" customHeight="1" x14ac:dyDescent="0.25">
      <c r="A44" s="179">
        <v>23</v>
      </c>
      <c r="B44" s="180"/>
      <c r="C44" s="180"/>
      <c r="D44" s="198"/>
      <c r="E44" s="198"/>
      <c r="F44" s="180"/>
      <c r="G44" s="180"/>
      <c r="H44" s="180"/>
      <c r="I44" s="180"/>
      <c r="J44" s="180"/>
      <c r="K44" s="181"/>
      <c r="L44" s="182"/>
      <c r="M44" s="182">
        <f t="shared" si="1"/>
        <v>0</v>
      </c>
      <c r="N44" s="194">
        <f t="shared" si="2"/>
        <v>0</v>
      </c>
      <c r="O44" s="184"/>
      <c r="P44" s="183"/>
      <c r="Q44" s="184"/>
      <c r="R44" s="183"/>
      <c r="S44" s="185"/>
      <c r="T44" s="185"/>
      <c r="U44" s="186"/>
      <c r="W44" s="15"/>
      <c r="X44" s="173"/>
      <c r="Y44" s="15"/>
      <c r="Z44" s="15"/>
      <c r="AA44" s="15"/>
      <c r="AB44" s="204"/>
      <c r="AC44" s="15"/>
      <c r="AD44" s="15"/>
    </row>
    <row r="45" spans="1:30" ht="243" hidden="1" customHeight="1" x14ac:dyDescent="0.25">
      <c r="A45" s="179">
        <v>24</v>
      </c>
      <c r="B45" s="180"/>
      <c r="C45" s="180"/>
      <c r="D45" s="198"/>
      <c r="E45" s="198"/>
      <c r="F45" s="180"/>
      <c r="G45" s="180"/>
      <c r="H45" s="180"/>
      <c r="I45" s="180"/>
      <c r="J45" s="180"/>
      <c r="K45" s="181"/>
      <c r="L45" s="182"/>
      <c r="M45" s="182">
        <f t="shared" si="1"/>
        <v>0</v>
      </c>
      <c r="N45" s="194">
        <f t="shared" si="2"/>
        <v>0</v>
      </c>
      <c r="O45" s="184"/>
      <c r="P45" s="183"/>
      <c r="Q45" s="184"/>
      <c r="R45" s="183"/>
      <c r="S45" s="185"/>
      <c r="T45" s="185"/>
      <c r="U45" s="186"/>
      <c r="W45" s="15"/>
      <c r="X45" s="173"/>
      <c r="Y45" s="15"/>
      <c r="Z45" s="15"/>
      <c r="AA45" s="15"/>
      <c r="AB45" s="204"/>
      <c r="AC45" s="15"/>
      <c r="AD45" s="15"/>
    </row>
    <row r="46" spans="1:30" ht="243" hidden="1" customHeight="1" x14ac:dyDescent="0.25">
      <c r="A46" s="179">
        <v>25</v>
      </c>
      <c r="B46" s="180"/>
      <c r="C46" s="180"/>
      <c r="D46" s="198"/>
      <c r="E46" s="198"/>
      <c r="F46" s="180"/>
      <c r="G46" s="180"/>
      <c r="H46" s="180"/>
      <c r="I46" s="180"/>
      <c r="J46" s="180"/>
      <c r="K46" s="181"/>
      <c r="L46" s="182"/>
      <c r="M46" s="182">
        <f t="shared" si="1"/>
        <v>0</v>
      </c>
      <c r="N46" s="194">
        <f t="shared" si="2"/>
        <v>0</v>
      </c>
      <c r="O46" s="184"/>
      <c r="P46" s="183"/>
      <c r="Q46" s="184"/>
      <c r="R46" s="183"/>
      <c r="S46" s="185"/>
      <c r="T46" s="185"/>
      <c r="U46" s="186"/>
      <c r="W46" s="15"/>
      <c r="X46" s="173"/>
      <c r="Y46" s="15"/>
      <c r="Z46" s="15"/>
      <c r="AA46" s="15"/>
      <c r="AB46" s="204"/>
      <c r="AC46" s="15"/>
      <c r="AD46" s="15"/>
    </row>
    <row r="47" spans="1:30" ht="243" hidden="1" customHeight="1" x14ac:dyDescent="0.25">
      <c r="A47" s="179">
        <v>26</v>
      </c>
      <c r="B47" s="180"/>
      <c r="C47" s="180"/>
      <c r="D47" s="198"/>
      <c r="E47" s="198"/>
      <c r="F47" s="180"/>
      <c r="G47" s="180"/>
      <c r="H47" s="180"/>
      <c r="I47" s="180"/>
      <c r="J47" s="180"/>
      <c r="K47" s="181"/>
      <c r="L47" s="182"/>
      <c r="M47" s="182">
        <f t="shared" si="1"/>
        <v>0</v>
      </c>
      <c r="N47" s="194">
        <f t="shared" si="2"/>
        <v>0</v>
      </c>
      <c r="O47" s="184"/>
      <c r="P47" s="183"/>
      <c r="Q47" s="184"/>
      <c r="R47" s="183"/>
      <c r="S47" s="185"/>
      <c r="T47" s="185"/>
      <c r="U47" s="186"/>
      <c r="W47" s="15"/>
      <c r="X47" s="173"/>
      <c r="Y47" s="15"/>
      <c r="Z47" s="15"/>
      <c r="AA47" s="15"/>
      <c r="AB47" s="204"/>
      <c r="AC47" s="15"/>
      <c r="AD47" s="15"/>
    </row>
    <row r="48" spans="1:30" ht="243" hidden="1" customHeight="1" x14ac:dyDescent="0.25">
      <c r="A48" s="179">
        <v>27</v>
      </c>
      <c r="B48" s="180"/>
      <c r="C48" s="180"/>
      <c r="D48" s="198"/>
      <c r="E48" s="198"/>
      <c r="F48" s="180"/>
      <c r="G48" s="180"/>
      <c r="H48" s="180"/>
      <c r="I48" s="180"/>
      <c r="J48" s="180"/>
      <c r="K48" s="181"/>
      <c r="L48" s="182"/>
      <c r="M48" s="182">
        <f t="shared" si="1"/>
        <v>0</v>
      </c>
      <c r="N48" s="194">
        <f t="shared" si="2"/>
        <v>0</v>
      </c>
      <c r="O48" s="184"/>
      <c r="P48" s="183"/>
      <c r="Q48" s="184"/>
      <c r="R48" s="183"/>
      <c r="S48" s="185"/>
      <c r="T48" s="185"/>
      <c r="U48" s="186"/>
      <c r="W48" s="15"/>
      <c r="X48" s="173"/>
      <c r="Y48" s="15"/>
      <c r="Z48" s="15"/>
      <c r="AA48" s="15"/>
      <c r="AB48" s="204"/>
      <c r="AC48" s="15"/>
      <c r="AD48" s="15"/>
    </row>
    <row r="49" spans="1:30" ht="243" hidden="1" customHeight="1" x14ac:dyDescent="0.25">
      <c r="A49" s="179">
        <v>28</v>
      </c>
      <c r="B49" s="180"/>
      <c r="C49" s="180"/>
      <c r="D49" s="198"/>
      <c r="E49" s="198"/>
      <c r="F49" s="180"/>
      <c r="G49" s="180"/>
      <c r="H49" s="180"/>
      <c r="I49" s="180"/>
      <c r="J49" s="180"/>
      <c r="K49" s="181"/>
      <c r="L49" s="182"/>
      <c r="M49" s="182">
        <f t="shared" si="1"/>
        <v>0</v>
      </c>
      <c r="N49" s="194">
        <f t="shared" si="2"/>
        <v>0</v>
      </c>
      <c r="O49" s="184"/>
      <c r="P49" s="183"/>
      <c r="Q49" s="184"/>
      <c r="R49" s="183"/>
      <c r="S49" s="185"/>
      <c r="T49" s="185"/>
      <c r="U49" s="186"/>
      <c r="W49" s="15"/>
      <c r="X49" s="173"/>
      <c r="Y49" s="15"/>
      <c r="Z49" s="15"/>
      <c r="AA49" s="15"/>
      <c r="AB49" s="204"/>
      <c r="AC49" s="15"/>
      <c r="AD49" s="15"/>
    </row>
    <row r="50" spans="1:30" ht="243" hidden="1" customHeight="1" x14ac:dyDescent="0.25">
      <c r="A50" s="179">
        <v>29</v>
      </c>
      <c r="B50" s="180"/>
      <c r="C50" s="180"/>
      <c r="D50" s="198"/>
      <c r="E50" s="198"/>
      <c r="F50" s="180"/>
      <c r="G50" s="180"/>
      <c r="H50" s="180"/>
      <c r="I50" s="180"/>
      <c r="J50" s="180"/>
      <c r="K50" s="181"/>
      <c r="L50" s="182"/>
      <c r="M50" s="182">
        <f t="shared" si="1"/>
        <v>0</v>
      </c>
      <c r="N50" s="194">
        <f t="shared" si="2"/>
        <v>0</v>
      </c>
      <c r="O50" s="184"/>
      <c r="P50" s="183"/>
      <c r="Q50" s="184"/>
      <c r="R50" s="183"/>
      <c r="S50" s="185"/>
      <c r="T50" s="185"/>
      <c r="U50" s="186"/>
      <c r="W50" s="15"/>
      <c r="X50" s="173"/>
      <c r="Y50" s="15"/>
      <c r="Z50" s="15"/>
      <c r="AA50" s="15"/>
      <c r="AB50" s="204"/>
      <c r="AC50" s="15"/>
      <c r="AD50" s="15"/>
    </row>
    <row r="51" spans="1:30" ht="243" hidden="1" customHeight="1" x14ac:dyDescent="0.25">
      <c r="A51" s="179">
        <v>30</v>
      </c>
      <c r="B51" s="180"/>
      <c r="C51" s="180"/>
      <c r="D51" s="198"/>
      <c r="E51" s="198"/>
      <c r="F51" s="180"/>
      <c r="G51" s="180"/>
      <c r="H51" s="180"/>
      <c r="I51" s="180"/>
      <c r="J51" s="180"/>
      <c r="K51" s="181"/>
      <c r="L51" s="182"/>
      <c r="M51" s="182">
        <f t="shared" si="1"/>
        <v>0</v>
      </c>
      <c r="N51" s="194">
        <f t="shared" si="2"/>
        <v>0</v>
      </c>
      <c r="O51" s="184"/>
      <c r="P51" s="183"/>
      <c r="Q51" s="184"/>
      <c r="R51" s="183"/>
      <c r="S51" s="185"/>
      <c r="T51" s="185"/>
      <c r="U51" s="186"/>
      <c r="W51" s="15"/>
      <c r="X51" s="173"/>
      <c r="Y51" s="15"/>
      <c r="Z51" s="15"/>
      <c r="AA51" s="15"/>
      <c r="AB51" s="204"/>
      <c r="AC51" s="15"/>
      <c r="AD51" s="15"/>
    </row>
    <row r="52" spans="1:30" ht="243" hidden="1" customHeight="1" x14ac:dyDescent="0.25">
      <c r="A52" s="179">
        <v>31</v>
      </c>
      <c r="B52" s="180"/>
      <c r="C52" s="180"/>
      <c r="D52" s="198"/>
      <c r="E52" s="198"/>
      <c r="F52" s="180"/>
      <c r="G52" s="180"/>
      <c r="H52" s="180"/>
      <c r="I52" s="180"/>
      <c r="J52" s="180"/>
      <c r="K52" s="181"/>
      <c r="L52" s="182"/>
      <c r="M52" s="182">
        <f t="shared" si="1"/>
        <v>0</v>
      </c>
      <c r="N52" s="194">
        <f t="shared" si="2"/>
        <v>0</v>
      </c>
      <c r="O52" s="184"/>
      <c r="P52" s="183"/>
      <c r="Q52" s="184"/>
      <c r="R52" s="183"/>
      <c r="S52" s="185"/>
      <c r="T52" s="185"/>
      <c r="U52" s="186"/>
      <c r="W52" s="15"/>
      <c r="X52" s="173"/>
      <c r="Y52" s="15"/>
      <c r="Z52" s="15"/>
      <c r="AA52" s="15"/>
      <c r="AB52" s="204"/>
      <c r="AC52" s="15"/>
      <c r="AD52" s="15"/>
    </row>
    <row r="53" spans="1:30" ht="243" hidden="1" customHeight="1" x14ac:dyDescent="0.25">
      <c r="A53" s="179">
        <v>32</v>
      </c>
      <c r="B53" s="180"/>
      <c r="C53" s="180"/>
      <c r="D53" s="198"/>
      <c r="E53" s="198"/>
      <c r="F53" s="180"/>
      <c r="G53" s="180"/>
      <c r="H53" s="180"/>
      <c r="I53" s="180"/>
      <c r="J53" s="180"/>
      <c r="K53" s="181"/>
      <c r="L53" s="182"/>
      <c r="M53" s="182">
        <f t="shared" si="1"/>
        <v>0</v>
      </c>
      <c r="N53" s="194">
        <f t="shared" si="2"/>
        <v>0</v>
      </c>
      <c r="O53" s="184"/>
      <c r="P53" s="183"/>
      <c r="Q53" s="184"/>
      <c r="R53" s="183"/>
      <c r="S53" s="185"/>
      <c r="T53" s="185"/>
      <c r="U53" s="186"/>
      <c r="W53" s="15"/>
      <c r="X53" s="173"/>
      <c r="Y53" s="15"/>
      <c r="Z53" s="15"/>
      <c r="AA53" s="15"/>
      <c r="AB53" s="204"/>
      <c r="AC53" s="15"/>
      <c r="AD53" s="15"/>
    </row>
    <row r="54" spans="1:30" ht="243" hidden="1" customHeight="1" x14ac:dyDescent="0.25">
      <c r="A54" s="179">
        <v>33</v>
      </c>
      <c r="B54" s="180"/>
      <c r="C54" s="180"/>
      <c r="D54" s="198"/>
      <c r="E54" s="198"/>
      <c r="F54" s="180"/>
      <c r="G54" s="180"/>
      <c r="H54" s="180"/>
      <c r="I54" s="180"/>
      <c r="J54" s="180"/>
      <c r="K54" s="181"/>
      <c r="L54" s="182"/>
      <c r="M54" s="182">
        <f t="shared" si="1"/>
        <v>0</v>
      </c>
      <c r="N54" s="194">
        <f t="shared" si="2"/>
        <v>0</v>
      </c>
      <c r="O54" s="184"/>
      <c r="P54" s="183"/>
      <c r="Q54" s="184"/>
      <c r="R54" s="183"/>
      <c r="S54" s="185"/>
      <c r="T54" s="185"/>
      <c r="U54" s="186"/>
      <c r="W54" s="15"/>
      <c r="X54" s="173"/>
      <c r="Y54" s="15"/>
      <c r="Z54" s="15"/>
      <c r="AA54" s="15"/>
      <c r="AB54" s="204"/>
      <c r="AC54" s="15"/>
      <c r="AD54" s="15"/>
    </row>
    <row r="55" spans="1:30" ht="243" hidden="1" customHeight="1" x14ac:dyDescent="0.25">
      <c r="A55" s="179">
        <v>34</v>
      </c>
      <c r="B55" s="180"/>
      <c r="C55" s="180"/>
      <c r="D55" s="198"/>
      <c r="E55" s="198"/>
      <c r="F55" s="180"/>
      <c r="G55" s="180"/>
      <c r="H55" s="180"/>
      <c r="I55" s="180"/>
      <c r="J55" s="180"/>
      <c r="K55" s="181"/>
      <c r="L55" s="182"/>
      <c r="M55" s="182">
        <f t="shared" si="1"/>
        <v>0</v>
      </c>
      <c r="N55" s="194">
        <f t="shared" si="2"/>
        <v>0</v>
      </c>
      <c r="O55" s="184"/>
      <c r="P55" s="183"/>
      <c r="Q55" s="184"/>
      <c r="R55" s="183"/>
      <c r="S55" s="185"/>
      <c r="T55" s="185"/>
      <c r="U55" s="186"/>
      <c r="W55" s="15"/>
      <c r="X55" s="173"/>
      <c r="Y55" s="15"/>
      <c r="Z55" s="15"/>
      <c r="AA55" s="15"/>
      <c r="AB55" s="204"/>
      <c r="AC55" s="15"/>
      <c r="AD55" s="15"/>
    </row>
    <row r="56" spans="1:30" ht="243" hidden="1" customHeight="1" x14ac:dyDescent="0.25">
      <c r="A56" s="179">
        <v>35</v>
      </c>
      <c r="B56" s="180"/>
      <c r="C56" s="180"/>
      <c r="D56" s="198"/>
      <c r="E56" s="198"/>
      <c r="F56" s="180"/>
      <c r="G56" s="180"/>
      <c r="H56" s="180"/>
      <c r="I56" s="180"/>
      <c r="J56" s="180"/>
      <c r="K56" s="181"/>
      <c r="L56" s="182"/>
      <c r="M56" s="182">
        <f t="shared" si="1"/>
        <v>0</v>
      </c>
      <c r="N56" s="194">
        <f t="shared" si="2"/>
        <v>0</v>
      </c>
      <c r="O56" s="184"/>
      <c r="P56" s="183"/>
      <c r="Q56" s="184"/>
      <c r="R56" s="183"/>
      <c r="S56" s="185"/>
      <c r="T56" s="185"/>
      <c r="U56" s="186"/>
      <c r="W56" s="15"/>
      <c r="X56" s="173"/>
      <c r="Y56" s="15"/>
      <c r="Z56" s="15"/>
      <c r="AA56" s="15"/>
      <c r="AB56" s="204"/>
      <c r="AC56" s="15"/>
      <c r="AD56" s="15"/>
    </row>
    <row r="57" spans="1:30" ht="243" hidden="1" customHeight="1" x14ac:dyDescent="0.25">
      <c r="A57" s="179">
        <v>36</v>
      </c>
      <c r="B57" s="180"/>
      <c r="C57" s="180"/>
      <c r="D57" s="198"/>
      <c r="E57" s="198"/>
      <c r="F57" s="180"/>
      <c r="G57" s="180"/>
      <c r="H57" s="180"/>
      <c r="I57" s="180"/>
      <c r="J57" s="180"/>
      <c r="K57" s="181"/>
      <c r="L57" s="182"/>
      <c r="M57" s="182">
        <f t="shared" si="1"/>
        <v>0</v>
      </c>
      <c r="N57" s="194">
        <f t="shared" si="2"/>
        <v>0</v>
      </c>
      <c r="O57" s="184"/>
      <c r="P57" s="183"/>
      <c r="Q57" s="184"/>
      <c r="R57" s="183"/>
      <c r="S57" s="185"/>
      <c r="T57" s="185"/>
      <c r="U57" s="186"/>
      <c r="W57" s="15"/>
      <c r="X57" s="173"/>
      <c r="Y57" s="15"/>
      <c r="Z57" s="15"/>
      <c r="AA57" s="15"/>
      <c r="AB57" s="204"/>
      <c r="AC57" s="15"/>
      <c r="AD57" s="15"/>
    </row>
    <row r="58" spans="1:30" ht="243" hidden="1" customHeight="1" x14ac:dyDescent="0.25">
      <c r="A58" s="179">
        <v>37</v>
      </c>
      <c r="B58" s="180"/>
      <c r="C58" s="180"/>
      <c r="D58" s="198"/>
      <c r="E58" s="198"/>
      <c r="F58" s="180"/>
      <c r="G58" s="180"/>
      <c r="H58" s="180"/>
      <c r="I58" s="180"/>
      <c r="J58" s="180"/>
      <c r="K58" s="181"/>
      <c r="L58" s="182"/>
      <c r="M58" s="182">
        <f t="shared" si="1"/>
        <v>0</v>
      </c>
      <c r="N58" s="194">
        <f t="shared" si="2"/>
        <v>0</v>
      </c>
      <c r="O58" s="184"/>
      <c r="P58" s="183"/>
      <c r="Q58" s="184"/>
      <c r="R58" s="183"/>
      <c r="S58" s="185"/>
      <c r="T58" s="185"/>
      <c r="U58" s="186"/>
      <c r="W58" s="15"/>
      <c r="X58" s="173"/>
      <c r="Y58" s="15"/>
      <c r="Z58" s="15"/>
      <c r="AA58" s="15"/>
      <c r="AB58" s="204"/>
      <c r="AC58" s="15"/>
      <c r="AD58" s="15"/>
    </row>
    <row r="59" spans="1:30" ht="243" hidden="1" customHeight="1" x14ac:dyDescent="0.25">
      <c r="A59" s="179">
        <v>38</v>
      </c>
      <c r="B59" s="180"/>
      <c r="C59" s="180"/>
      <c r="D59" s="198"/>
      <c r="E59" s="198"/>
      <c r="F59" s="180"/>
      <c r="G59" s="180"/>
      <c r="H59" s="180"/>
      <c r="I59" s="180"/>
      <c r="J59" s="180"/>
      <c r="K59" s="181"/>
      <c r="L59" s="182"/>
      <c r="M59" s="182">
        <f t="shared" si="1"/>
        <v>0</v>
      </c>
      <c r="N59" s="194">
        <f t="shared" si="2"/>
        <v>0</v>
      </c>
      <c r="O59" s="184"/>
      <c r="P59" s="183"/>
      <c r="Q59" s="184"/>
      <c r="R59" s="183"/>
      <c r="S59" s="185"/>
      <c r="T59" s="185"/>
      <c r="U59" s="186"/>
      <c r="W59" s="15"/>
      <c r="X59" s="173"/>
      <c r="Y59" s="15"/>
      <c r="Z59" s="15"/>
      <c r="AA59" s="15"/>
      <c r="AB59" s="204"/>
      <c r="AC59" s="15"/>
      <c r="AD59" s="15"/>
    </row>
    <row r="60" spans="1:30" ht="243" hidden="1" customHeight="1" x14ac:dyDescent="0.25">
      <c r="A60" s="179">
        <v>39</v>
      </c>
      <c r="B60" s="180"/>
      <c r="C60" s="180"/>
      <c r="D60" s="198"/>
      <c r="E60" s="198"/>
      <c r="F60" s="180"/>
      <c r="G60" s="180"/>
      <c r="H60" s="180"/>
      <c r="I60" s="180"/>
      <c r="J60" s="180"/>
      <c r="K60" s="181"/>
      <c r="L60" s="182"/>
      <c r="M60" s="182">
        <f t="shared" si="1"/>
        <v>0</v>
      </c>
      <c r="N60" s="194">
        <f t="shared" si="2"/>
        <v>0</v>
      </c>
      <c r="O60" s="184"/>
      <c r="P60" s="183"/>
      <c r="Q60" s="184"/>
      <c r="R60" s="183"/>
      <c r="S60" s="185"/>
      <c r="T60" s="185"/>
      <c r="U60" s="186"/>
      <c r="W60" s="15"/>
      <c r="X60" s="173"/>
      <c r="Y60" s="15"/>
      <c r="Z60" s="15"/>
      <c r="AA60" s="15"/>
      <c r="AB60" s="204"/>
      <c r="AC60" s="15"/>
      <c r="AD60" s="15"/>
    </row>
    <row r="61" spans="1:30" ht="243" hidden="1" customHeight="1" x14ac:dyDescent="0.25">
      <c r="A61" s="179">
        <v>40</v>
      </c>
      <c r="B61" s="180"/>
      <c r="C61" s="180"/>
      <c r="D61" s="198"/>
      <c r="E61" s="198"/>
      <c r="F61" s="180"/>
      <c r="G61" s="180"/>
      <c r="H61" s="180"/>
      <c r="I61" s="180"/>
      <c r="J61" s="180"/>
      <c r="K61" s="181"/>
      <c r="L61" s="182"/>
      <c r="M61" s="182">
        <f t="shared" si="1"/>
        <v>0</v>
      </c>
      <c r="N61" s="194">
        <f t="shared" si="2"/>
        <v>0</v>
      </c>
      <c r="O61" s="184"/>
      <c r="P61" s="183"/>
      <c r="Q61" s="184"/>
      <c r="R61" s="183"/>
      <c r="S61" s="185"/>
      <c r="T61" s="185"/>
      <c r="U61" s="186"/>
      <c r="W61" s="15"/>
      <c r="X61" s="173"/>
      <c r="Y61" s="15"/>
      <c r="Z61" s="15"/>
      <c r="AA61" s="15"/>
      <c r="AB61" s="204"/>
      <c r="AC61" s="15"/>
      <c r="AD61" s="15"/>
    </row>
    <row r="62" spans="1:30" ht="243" hidden="1" customHeight="1" x14ac:dyDescent="0.25">
      <c r="A62" s="179">
        <v>41</v>
      </c>
      <c r="B62" s="180"/>
      <c r="C62" s="180"/>
      <c r="D62" s="198"/>
      <c r="E62" s="198"/>
      <c r="F62" s="180"/>
      <c r="G62" s="180"/>
      <c r="H62" s="180"/>
      <c r="I62" s="180"/>
      <c r="J62" s="180"/>
      <c r="K62" s="181"/>
      <c r="L62" s="182"/>
      <c r="M62" s="182">
        <f t="shared" si="1"/>
        <v>0</v>
      </c>
      <c r="N62" s="194">
        <f t="shared" si="2"/>
        <v>0</v>
      </c>
      <c r="O62" s="184"/>
      <c r="P62" s="183"/>
      <c r="Q62" s="184"/>
      <c r="R62" s="183"/>
      <c r="S62" s="185"/>
      <c r="T62" s="185"/>
      <c r="U62" s="186"/>
      <c r="W62" s="15"/>
      <c r="X62" s="173"/>
      <c r="Y62" s="15"/>
      <c r="Z62" s="15"/>
      <c r="AA62" s="15"/>
      <c r="AB62" s="204"/>
      <c r="AC62" s="15"/>
      <c r="AD62" s="15"/>
    </row>
    <row r="63" spans="1:30" ht="243" hidden="1" customHeight="1" x14ac:dyDescent="0.25">
      <c r="A63" s="179">
        <v>42</v>
      </c>
      <c r="B63" s="180"/>
      <c r="C63" s="180"/>
      <c r="D63" s="198"/>
      <c r="E63" s="198"/>
      <c r="F63" s="180"/>
      <c r="G63" s="180"/>
      <c r="H63" s="180"/>
      <c r="I63" s="180"/>
      <c r="J63" s="180"/>
      <c r="K63" s="181"/>
      <c r="L63" s="182"/>
      <c r="M63" s="182">
        <f t="shared" si="1"/>
        <v>0</v>
      </c>
      <c r="N63" s="194">
        <f t="shared" si="2"/>
        <v>0</v>
      </c>
      <c r="O63" s="184"/>
      <c r="P63" s="183"/>
      <c r="Q63" s="184"/>
      <c r="R63" s="183"/>
      <c r="S63" s="185"/>
      <c r="T63" s="185"/>
      <c r="U63" s="186"/>
      <c r="W63" s="15"/>
      <c r="X63" s="173"/>
      <c r="Y63" s="15"/>
      <c r="Z63" s="15"/>
      <c r="AA63" s="15"/>
      <c r="AB63" s="204"/>
      <c r="AC63" s="15"/>
      <c r="AD63" s="15"/>
    </row>
    <row r="64" spans="1:30" ht="243" hidden="1" customHeight="1" x14ac:dyDescent="0.25">
      <c r="A64" s="179">
        <v>43</v>
      </c>
      <c r="B64" s="180"/>
      <c r="C64" s="180"/>
      <c r="D64" s="198"/>
      <c r="E64" s="198"/>
      <c r="F64" s="180"/>
      <c r="G64" s="180"/>
      <c r="H64" s="180"/>
      <c r="I64" s="180"/>
      <c r="J64" s="180"/>
      <c r="K64" s="181"/>
      <c r="L64" s="182"/>
      <c r="M64" s="182">
        <f t="shared" si="1"/>
        <v>0</v>
      </c>
      <c r="N64" s="194">
        <f t="shared" si="2"/>
        <v>0</v>
      </c>
      <c r="O64" s="184"/>
      <c r="P64" s="183"/>
      <c r="Q64" s="184"/>
      <c r="R64" s="183"/>
      <c r="S64" s="185"/>
      <c r="T64" s="185"/>
      <c r="U64" s="186"/>
      <c r="W64" s="15"/>
      <c r="X64" s="173"/>
      <c r="Y64" s="15"/>
      <c r="Z64" s="15"/>
      <c r="AA64" s="15"/>
      <c r="AB64" s="204"/>
      <c r="AC64" s="15"/>
      <c r="AD64" s="15"/>
    </row>
    <row r="65" spans="1:30" ht="243" hidden="1" customHeight="1" x14ac:dyDescent="0.25">
      <c r="A65" s="179">
        <v>44</v>
      </c>
      <c r="B65" s="180"/>
      <c r="C65" s="180"/>
      <c r="D65" s="198"/>
      <c r="E65" s="198"/>
      <c r="F65" s="180"/>
      <c r="G65" s="180"/>
      <c r="H65" s="180"/>
      <c r="I65" s="180"/>
      <c r="J65" s="180"/>
      <c r="K65" s="181"/>
      <c r="L65" s="182"/>
      <c r="M65" s="182">
        <f t="shared" si="1"/>
        <v>0</v>
      </c>
      <c r="N65" s="194">
        <f t="shared" si="2"/>
        <v>0</v>
      </c>
      <c r="O65" s="184"/>
      <c r="P65" s="183"/>
      <c r="Q65" s="184"/>
      <c r="R65" s="183"/>
      <c r="S65" s="185"/>
      <c r="T65" s="185"/>
      <c r="U65" s="186"/>
      <c r="W65" s="15"/>
      <c r="X65" s="173"/>
      <c r="Y65" s="15"/>
      <c r="Z65" s="15"/>
      <c r="AA65" s="15"/>
      <c r="AB65" s="204"/>
      <c r="AC65" s="15"/>
      <c r="AD65" s="15"/>
    </row>
    <row r="66" spans="1:30" ht="243" hidden="1" customHeight="1" x14ac:dyDescent="0.25">
      <c r="A66" s="179">
        <v>45</v>
      </c>
      <c r="B66" s="180"/>
      <c r="C66" s="180"/>
      <c r="D66" s="198"/>
      <c r="E66" s="198"/>
      <c r="F66" s="180"/>
      <c r="G66" s="180"/>
      <c r="H66" s="180"/>
      <c r="I66" s="180"/>
      <c r="J66" s="180"/>
      <c r="K66" s="181"/>
      <c r="L66" s="182"/>
      <c r="M66" s="182">
        <f t="shared" si="1"/>
        <v>0</v>
      </c>
      <c r="N66" s="194">
        <f t="shared" si="2"/>
        <v>0</v>
      </c>
      <c r="O66" s="184"/>
      <c r="P66" s="183"/>
      <c r="Q66" s="184"/>
      <c r="R66" s="183"/>
      <c r="S66" s="185"/>
      <c r="T66" s="185"/>
      <c r="U66" s="186"/>
      <c r="W66" s="15"/>
      <c r="X66" s="173"/>
      <c r="Y66" s="15"/>
      <c r="Z66" s="15"/>
      <c r="AA66" s="15"/>
      <c r="AB66" s="204"/>
      <c r="AC66" s="15"/>
      <c r="AD66" s="15"/>
    </row>
    <row r="67" spans="1:30" ht="243" hidden="1" customHeight="1" x14ac:dyDescent="0.25">
      <c r="A67" s="179">
        <v>46</v>
      </c>
      <c r="B67" s="180"/>
      <c r="C67" s="180"/>
      <c r="D67" s="198"/>
      <c r="E67" s="198"/>
      <c r="F67" s="180"/>
      <c r="G67" s="180"/>
      <c r="H67" s="180"/>
      <c r="I67" s="180"/>
      <c r="J67" s="180"/>
      <c r="K67" s="181"/>
      <c r="L67" s="182"/>
      <c r="M67" s="182">
        <f t="shared" si="1"/>
        <v>0</v>
      </c>
      <c r="N67" s="194">
        <f t="shared" si="2"/>
        <v>0</v>
      </c>
      <c r="O67" s="184"/>
      <c r="P67" s="183"/>
      <c r="Q67" s="184"/>
      <c r="R67" s="183"/>
      <c r="S67" s="185"/>
      <c r="T67" s="185"/>
      <c r="U67" s="186"/>
      <c r="W67" s="15"/>
      <c r="X67" s="173"/>
      <c r="Y67" s="15"/>
      <c r="Z67" s="15"/>
      <c r="AA67" s="15"/>
      <c r="AB67" s="204"/>
      <c r="AC67" s="15"/>
      <c r="AD67" s="15"/>
    </row>
    <row r="68" spans="1:30" ht="243" hidden="1" customHeight="1" x14ac:dyDescent="0.25">
      <c r="A68" s="179">
        <v>47</v>
      </c>
      <c r="B68" s="180"/>
      <c r="C68" s="180"/>
      <c r="D68" s="198"/>
      <c r="E68" s="198"/>
      <c r="F68" s="180"/>
      <c r="G68" s="180"/>
      <c r="H68" s="180"/>
      <c r="I68" s="180"/>
      <c r="J68" s="180"/>
      <c r="K68" s="181"/>
      <c r="L68" s="182"/>
      <c r="M68" s="182">
        <f t="shared" si="1"/>
        <v>0</v>
      </c>
      <c r="N68" s="194">
        <f t="shared" si="2"/>
        <v>0</v>
      </c>
      <c r="O68" s="184"/>
      <c r="P68" s="183"/>
      <c r="Q68" s="184"/>
      <c r="R68" s="183"/>
      <c r="S68" s="185"/>
      <c r="T68" s="185"/>
      <c r="U68" s="186"/>
      <c r="W68" s="15"/>
      <c r="X68" s="173"/>
      <c r="Y68" s="15"/>
      <c r="Z68" s="15"/>
      <c r="AA68" s="15"/>
      <c r="AB68" s="204"/>
      <c r="AC68" s="15"/>
      <c r="AD68" s="15"/>
    </row>
    <row r="69" spans="1:30" ht="243" hidden="1" customHeight="1" x14ac:dyDescent="0.25">
      <c r="A69" s="179">
        <v>48</v>
      </c>
      <c r="B69" s="180"/>
      <c r="C69" s="180"/>
      <c r="D69" s="198"/>
      <c r="E69" s="198"/>
      <c r="F69" s="180"/>
      <c r="G69" s="180"/>
      <c r="H69" s="180"/>
      <c r="I69" s="180"/>
      <c r="J69" s="180"/>
      <c r="K69" s="181"/>
      <c r="L69" s="182"/>
      <c r="M69" s="182">
        <f t="shared" si="1"/>
        <v>0</v>
      </c>
      <c r="N69" s="194">
        <f t="shared" si="2"/>
        <v>0</v>
      </c>
      <c r="O69" s="184"/>
      <c r="P69" s="183"/>
      <c r="Q69" s="184"/>
      <c r="R69" s="183"/>
      <c r="S69" s="185"/>
      <c r="T69" s="185"/>
      <c r="U69" s="186"/>
      <c r="W69" s="15"/>
      <c r="X69" s="173"/>
      <c r="Y69" s="15"/>
      <c r="Z69" s="15"/>
      <c r="AA69" s="15"/>
      <c r="AB69" s="204"/>
      <c r="AC69" s="15"/>
      <c r="AD69" s="15"/>
    </row>
    <row r="70" spans="1:30" ht="243" hidden="1" customHeight="1" x14ac:dyDescent="0.25">
      <c r="A70" s="179">
        <v>49</v>
      </c>
      <c r="B70" s="180"/>
      <c r="C70" s="180"/>
      <c r="D70" s="198"/>
      <c r="E70" s="198"/>
      <c r="F70" s="180"/>
      <c r="G70" s="180"/>
      <c r="H70" s="180"/>
      <c r="I70" s="180"/>
      <c r="J70" s="180"/>
      <c r="K70" s="181"/>
      <c r="L70" s="182"/>
      <c r="M70" s="182">
        <f t="shared" si="1"/>
        <v>0</v>
      </c>
      <c r="N70" s="194">
        <f t="shared" si="2"/>
        <v>0</v>
      </c>
      <c r="O70" s="184"/>
      <c r="P70" s="183"/>
      <c r="Q70" s="184"/>
      <c r="R70" s="183"/>
      <c r="S70" s="185"/>
      <c r="T70" s="185"/>
      <c r="U70" s="186"/>
      <c r="W70" s="15"/>
      <c r="X70" s="173"/>
      <c r="Y70" s="15"/>
      <c r="Z70" s="15"/>
      <c r="AA70" s="15"/>
      <c r="AB70" s="204"/>
      <c r="AC70" s="15"/>
      <c r="AD70" s="15"/>
    </row>
    <row r="71" spans="1:30" ht="243" hidden="1" customHeight="1" x14ac:dyDescent="0.25">
      <c r="A71" s="179">
        <v>50</v>
      </c>
      <c r="B71" s="180"/>
      <c r="C71" s="180"/>
      <c r="D71" s="198"/>
      <c r="E71" s="198"/>
      <c r="F71" s="180"/>
      <c r="G71" s="180"/>
      <c r="H71" s="180"/>
      <c r="I71" s="180"/>
      <c r="J71" s="180"/>
      <c r="K71" s="181"/>
      <c r="L71" s="182"/>
      <c r="M71" s="182">
        <f t="shared" si="1"/>
        <v>0</v>
      </c>
      <c r="N71" s="194">
        <f t="shared" si="2"/>
        <v>0</v>
      </c>
      <c r="O71" s="184"/>
      <c r="P71" s="183"/>
      <c r="Q71" s="184"/>
      <c r="R71" s="183"/>
      <c r="S71" s="185"/>
      <c r="T71" s="185"/>
      <c r="U71" s="186"/>
      <c r="W71" s="15"/>
      <c r="X71" s="173"/>
      <c r="Y71" s="15"/>
      <c r="Z71" s="15"/>
      <c r="AA71" s="15"/>
      <c r="AB71" s="204"/>
      <c r="AC71" s="15"/>
      <c r="AD71" s="15"/>
    </row>
    <row r="72" spans="1:30" ht="243" hidden="1" customHeight="1" x14ac:dyDescent="0.25">
      <c r="A72" s="179">
        <v>51</v>
      </c>
      <c r="B72" s="180"/>
      <c r="C72" s="180"/>
      <c r="D72" s="198"/>
      <c r="E72" s="198"/>
      <c r="F72" s="180"/>
      <c r="G72" s="180"/>
      <c r="H72" s="180"/>
      <c r="I72" s="180"/>
      <c r="J72" s="180"/>
      <c r="K72" s="181"/>
      <c r="L72" s="182"/>
      <c r="M72" s="182">
        <f t="shared" si="1"/>
        <v>0</v>
      </c>
      <c r="N72" s="194">
        <f t="shared" si="2"/>
        <v>0</v>
      </c>
      <c r="O72" s="184"/>
      <c r="P72" s="183"/>
      <c r="Q72" s="184"/>
      <c r="R72" s="183"/>
      <c r="S72" s="185"/>
      <c r="T72" s="185"/>
      <c r="U72" s="186"/>
      <c r="W72" s="15"/>
      <c r="X72" s="173"/>
      <c r="Y72" s="15"/>
      <c r="Z72" s="15"/>
      <c r="AA72" s="15"/>
      <c r="AB72" s="204"/>
      <c r="AC72" s="15"/>
      <c r="AD72" s="15"/>
    </row>
    <row r="73" spans="1:30" ht="243" hidden="1" customHeight="1" x14ac:dyDescent="0.25">
      <c r="A73" s="179">
        <v>52</v>
      </c>
      <c r="B73" s="180"/>
      <c r="C73" s="180"/>
      <c r="D73" s="198"/>
      <c r="E73" s="198"/>
      <c r="F73" s="180"/>
      <c r="G73" s="180"/>
      <c r="H73" s="180"/>
      <c r="I73" s="180"/>
      <c r="J73" s="180"/>
      <c r="K73" s="181"/>
      <c r="L73" s="182"/>
      <c r="M73" s="182">
        <f t="shared" si="1"/>
        <v>0</v>
      </c>
      <c r="N73" s="194">
        <f t="shared" si="2"/>
        <v>0</v>
      </c>
      <c r="O73" s="184"/>
      <c r="P73" s="183"/>
      <c r="Q73" s="184"/>
      <c r="R73" s="183"/>
      <c r="S73" s="185"/>
      <c r="T73" s="185"/>
      <c r="U73" s="186"/>
      <c r="X73" s="173"/>
      <c r="AB73" s="204"/>
    </row>
    <row r="74" spans="1:30" ht="243" hidden="1" customHeight="1" x14ac:dyDescent="0.25">
      <c r="A74" s="179">
        <v>53</v>
      </c>
      <c r="B74" s="180"/>
      <c r="C74" s="180"/>
      <c r="D74" s="198"/>
      <c r="E74" s="198"/>
      <c r="F74" s="180"/>
      <c r="G74" s="180"/>
      <c r="H74" s="180"/>
      <c r="I74" s="180"/>
      <c r="J74" s="180"/>
      <c r="K74" s="181"/>
      <c r="L74" s="182"/>
      <c r="M74" s="182">
        <f t="shared" si="1"/>
        <v>0</v>
      </c>
      <c r="N74" s="194">
        <f t="shared" si="2"/>
        <v>0</v>
      </c>
      <c r="O74" s="184"/>
      <c r="P74" s="183"/>
      <c r="Q74" s="184"/>
      <c r="R74" s="183"/>
      <c r="S74" s="185"/>
      <c r="T74" s="185"/>
      <c r="U74" s="186"/>
      <c r="X74" s="173"/>
      <c r="AB74" s="204"/>
    </row>
    <row r="75" spans="1:30" ht="243" hidden="1" customHeight="1" x14ac:dyDescent="0.25">
      <c r="A75" s="179">
        <v>54</v>
      </c>
      <c r="B75" s="180"/>
      <c r="C75" s="180"/>
      <c r="D75" s="198"/>
      <c r="E75" s="198"/>
      <c r="F75" s="180"/>
      <c r="G75" s="180"/>
      <c r="H75" s="180"/>
      <c r="I75" s="180"/>
      <c r="J75" s="180"/>
      <c r="K75" s="181"/>
      <c r="L75" s="182"/>
      <c r="M75" s="182">
        <f t="shared" si="1"/>
        <v>0</v>
      </c>
      <c r="N75" s="194">
        <f t="shared" si="2"/>
        <v>0</v>
      </c>
      <c r="O75" s="184"/>
      <c r="P75" s="183"/>
      <c r="Q75" s="184"/>
      <c r="R75" s="183"/>
      <c r="S75" s="185"/>
      <c r="T75" s="185"/>
      <c r="U75" s="186"/>
      <c r="X75" s="173"/>
      <c r="AB75" s="204"/>
    </row>
    <row r="76" spans="1:30" ht="243" hidden="1" customHeight="1" x14ac:dyDescent="0.25">
      <c r="A76" s="179">
        <v>55</v>
      </c>
      <c r="B76" s="180"/>
      <c r="C76" s="180"/>
      <c r="D76" s="198"/>
      <c r="E76" s="198"/>
      <c r="F76" s="180"/>
      <c r="G76" s="180"/>
      <c r="H76" s="180"/>
      <c r="I76" s="180"/>
      <c r="J76" s="180"/>
      <c r="K76" s="181"/>
      <c r="L76" s="182"/>
      <c r="M76" s="182">
        <f t="shared" si="1"/>
        <v>0</v>
      </c>
      <c r="N76" s="194">
        <f t="shared" si="2"/>
        <v>0</v>
      </c>
      <c r="O76" s="184"/>
      <c r="P76" s="183"/>
      <c r="Q76" s="184"/>
      <c r="R76" s="183"/>
      <c r="S76" s="185"/>
      <c r="T76" s="185"/>
      <c r="U76" s="186"/>
      <c r="X76" s="173"/>
      <c r="AB76" s="204"/>
    </row>
    <row r="77" spans="1:30" ht="243" hidden="1" customHeight="1" x14ac:dyDescent="0.25">
      <c r="A77" s="179">
        <v>56</v>
      </c>
      <c r="B77" s="180"/>
      <c r="C77" s="180"/>
      <c r="D77" s="198"/>
      <c r="E77" s="198"/>
      <c r="F77" s="180"/>
      <c r="G77" s="180"/>
      <c r="H77" s="180"/>
      <c r="I77" s="180"/>
      <c r="J77" s="180"/>
      <c r="K77" s="181"/>
      <c r="L77" s="182"/>
      <c r="M77" s="182">
        <f t="shared" si="1"/>
        <v>0</v>
      </c>
      <c r="N77" s="194">
        <f t="shared" si="2"/>
        <v>0</v>
      </c>
      <c r="O77" s="184"/>
      <c r="P77" s="183"/>
      <c r="Q77" s="184"/>
      <c r="R77" s="183"/>
      <c r="S77" s="185"/>
      <c r="T77" s="185"/>
      <c r="U77" s="186"/>
      <c r="X77" s="173"/>
      <c r="AB77" s="204"/>
    </row>
    <row r="78" spans="1:30" ht="243" hidden="1" customHeight="1" x14ac:dyDescent="0.25">
      <c r="A78" s="179">
        <v>57</v>
      </c>
      <c r="B78" s="180"/>
      <c r="C78" s="180"/>
      <c r="D78" s="198"/>
      <c r="E78" s="198"/>
      <c r="F78" s="180"/>
      <c r="G78" s="180"/>
      <c r="H78" s="180"/>
      <c r="I78" s="180"/>
      <c r="J78" s="180"/>
      <c r="K78" s="181"/>
      <c r="L78" s="182"/>
      <c r="M78" s="182">
        <f t="shared" si="1"/>
        <v>0</v>
      </c>
      <c r="N78" s="194">
        <f t="shared" si="2"/>
        <v>0</v>
      </c>
      <c r="O78" s="184"/>
      <c r="P78" s="183"/>
      <c r="Q78" s="184"/>
      <c r="R78" s="183"/>
      <c r="S78" s="185"/>
      <c r="T78" s="185"/>
      <c r="U78" s="186"/>
      <c r="X78" s="173"/>
      <c r="AB78" s="204"/>
    </row>
    <row r="79" spans="1:30" ht="243" hidden="1" customHeight="1" x14ac:dyDescent="0.25">
      <c r="A79" s="179">
        <v>58</v>
      </c>
      <c r="B79" s="180"/>
      <c r="C79" s="180"/>
      <c r="D79" s="198"/>
      <c r="E79" s="198"/>
      <c r="F79" s="180"/>
      <c r="G79" s="180"/>
      <c r="H79" s="180"/>
      <c r="I79" s="180"/>
      <c r="J79" s="180"/>
      <c r="K79" s="181"/>
      <c r="L79" s="182"/>
      <c r="M79" s="182">
        <f t="shared" si="1"/>
        <v>0</v>
      </c>
      <c r="N79" s="194">
        <f t="shared" si="2"/>
        <v>0</v>
      </c>
      <c r="O79" s="184"/>
      <c r="P79" s="183"/>
      <c r="Q79" s="184"/>
      <c r="R79" s="183"/>
      <c r="S79" s="185"/>
      <c r="T79" s="185"/>
      <c r="U79" s="186"/>
      <c r="X79" s="173"/>
      <c r="AB79" s="204"/>
    </row>
    <row r="80" spans="1:30" ht="243" hidden="1" customHeight="1" x14ac:dyDescent="0.25">
      <c r="A80" s="179">
        <v>59</v>
      </c>
      <c r="B80" s="180"/>
      <c r="C80" s="180"/>
      <c r="D80" s="198"/>
      <c r="E80" s="198"/>
      <c r="F80" s="180"/>
      <c r="G80" s="180"/>
      <c r="H80" s="180"/>
      <c r="I80" s="180"/>
      <c r="J80" s="180"/>
      <c r="K80" s="181"/>
      <c r="L80" s="182"/>
      <c r="M80" s="182">
        <f t="shared" si="1"/>
        <v>0</v>
      </c>
      <c r="N80" s="194">
        <f t="shared" si="2"/>
        <v>0</v>
      </c>
      <c r="O80" s="184"/>
      <c r="P80" s="183"/>
      <c r="Q80" s="184"/>
      <c r="R80" s="183"/>
      <c r="S80" s="185"/>
      <c r="T80" s="185"/>
      <c r="U80" s="186"/>
      <c r="X80" s="173"/>
      <c r="AB80" s="204"/>
    </row>
    <row r="81" spans="1:28" ht="243" hidden="1" customHeight="1" x14ac:dyDescent="0.25">
      <c r="A81" s="179">
        <v>60</v>
      </c>
      <c r="B81" s="180"/>
      <c r="C81" s="180"/>
      <c r="D81" s="198"/>
      <c r="E81" s="198"/>
      <c r="F81" s="180"/>
      <c r="G81" s="180"/>
      <c r="H81" s="180"/>
      <c r="I81" s="180"/>
      <c r="J81" s="180"/>
      <c r="K81" s="181"/>
      <c r="L81" s="182"/>
      <c r="M81" s="182">
        <f t="shared" si="1"/>
        <v>0</v>
      </c>
      <c r="N81" s="194">
        <f t="shared" si="2"/>
        <v>0</v>
      </c>
      <c r="O81" s="184"/>
      <c r="P81" s="183"/>
      <c r="Q81" s="184"/>
      <c r="R81" s="183"/>
      <c r="S81" s="185"/>
      <c r="T81" s="185"/>
      <c r="U81" s="186"/>
      <c r="X81" s="173"/>
      <c r="AB81" s="204"/>
    </row>
    <row r="82" spans="1:28" ht="243" hidden="1" customHeight="1" x14ac:dyDescent="0.25">
      <c r="A82" s="179">
        <v>61</v>
      </c>
      <c r="B82" s="180"/>
      <c r="C82" s="180"/>
      <c r="D82" s="198"/>
      <c r="E82" s="198"/>
      <c r="F82" s="180"/>
      <c r="G82" s="180"/>
      <c r="H82" s="180"/>
      <c r="I82" s="180"/>
      <c r="J82" s="180"/>
      <c r="K82" s="181"/>
      <c r="L82" s="182"/>
      <c r="M82" s="182">
        <f t="shared" si="1"/>
        <v>0</v>
      </c>
      <c r="N82" s="194">
        <f t="shared" si="2"/>
        <v>0</v>
      </c>
      <c r="O82" s="184"/>
      <c r="P82" s="183"/>
      <c r="Q82" s="184"/>
      <c r="R82" s="183"/>
      <c r="S82" s="185"/>
      <c r="T82" s="185"/>
      <c r="U82" s="186"/>
      <c r="X82" s="173"/>
      <c r="AB82" s="204"/>
    </row>
    <row r="83" spans="1:28" ht="243" hidden="1" customHeight="1" x14ac:dyDescent="0.25">
      <c r="A83" s="179">
        <v>62</v>
      </c>
      <c r="B83" s="180"/>
      <c r="C83" s="180"/>
      <c r="D83" s="198"/>
      <c r="E83" s="198"/>
      <c r="F83" s="180"/>
      <c r="G83" s="180"/>
      <c r="H83" s="180"/>
      <c r="I83" s="180"/>
      <c r="J83" s="180"/>
      <c r="K83" s="181"/>
      <c r="L83" s="182"/>
      <c r="M83" s="182">
        <f t="shared" si="1"/>
        <v>0</v>
      </c>
      <c r="N83" s="194">
        <f t="shared" si="2"/>
        <v>0</v>
      </c>
      <c r="O83" s="184"/>
      <c r="P83" s="183"/>
      <c r="Q83" s="184"/>
      <c r="R83" s="183"/>
      <c r="S83" s="185"/>
      <c r="T83" s="185"/>
      <c r="U83" s="186"/>
      <c r="X83" s="173"/>
      <c r="AB83" s="204"/>
    </row>
    <row r="84" spans="1:28" ht="243" hidden="1" customHeight="1" x14ac:dyDescent="0.25">
      <c r="A84" s="179">
        <v>63</v>
      </c>
      <c r="B84" s="180"/>
      <c r="C84" s="180"/>
      <c r="D84" s="198"/>
      <c r="E84" s="198"/>
      <c r="F84" s="180"/>
      <c r="G84" s="180"/>
      <c r="H84" s="180"/>
      <c r="I84" s="180"/>
      <c r="J84" s="180"/>
      <c r="K84" s="181"/>
      <c r="L84" s="182"/>
      <c r="M84" s="182">
        <f t="shared" si="1"/>
        <v>0</v>
      </c>
      <c r="N84" s="194">
        <f t="shared" si="2"/>
        <v>0</v>
      </c>
      <c r="O84" s="184"/>
      <c r="P84" s="183"/>
      <c r="Q84" s="184"/>
      <c r="R84" s="183"/>
      <c r="S84" s="185"/>
      <c r="T84" s="185"/>
      <c r="U84" s="186"/>
      <c r="X84" s="173"/>
      <c r="AB84" s="204"/>
    </row>
    <row r="85" spans="1:28" ht="243" hidden="1" customHeight="1" x14ac:dyDescent="0.25">
      <c r="A85" s="179">
        <v>64</v>
      </c>
      <c r="B85" s="180"/>
      <c r="C85" s="180"/>
      <c r="D85" s="198"/>
      <c r="E85" s="198"/>
      <c r="F85" s="180"/>
      <c r="G85" s="180"/>
      <c r="H85" s="180"/>
      <c r="I85" s="180"/>
      <c r="J85" s="180"/>
      <c r="K85" s="181"/>
      <c r="L85" s="182"/>
      <c r="M85" s="182">
        <f t="shared" si="1"/>
        <v>0</v>
      </c>
      <c r="N85" s="194">
        <f t="shared" si="2"/>
        <v>0</v>
      </c>
      <c r="O85" s="184"/>
      <c r="P85" s="183"/>
      <c r="Q85" s="184"/>
      <c r="R85" s="183"/>
      <c r="S85" s="185"/>
      <c r="T85" s="185"/>
      <c r="U85" s="186"/>
      <c r="X85" s="173"/>
      <c r="AB85" s="204"/>
    </row>
    <row r="86" spans="1:28" ht="243" hidden="1" customHeight="1" x14ac:dyDescent="0.25">
      <c r="A86" s="179">
        <v>65</v>
      </c>
      <c r="B86" s="180"/>
      <c r="C86" s="180"/>
      <c r="D86" s="198"/>
      <c r="E86" s="198"/>
      <c r="F86" s="180"/>
      <c r="G86" s="180"/>
      <c r="H86" s="180"/>
      <c r="I86" s="180"/>
      <c r="J86" s="180"/>
      <c r="K86" s="181"/>
      <c r="L86" s="182"/>
      <c r="M86" s="182">
        <f t="shared" si="1"/>
        <v>0</v>
      </c>
      <c r="N86" s="194">
        <f t="shared" si="2"/>
        <v>0</v>
      </c>
      <c r="O86" s="184"/>
      <c r="P86" s="183"/>
      <c r="Q86" s="184"/>
      <c r="R86" s="183"/>
      <c r="S86" s="185"/>
      <c r="T86" s="185"/>
      <c r="U86" s="186"/>
      <c r="X86" s="173"/>
      <c r="AB86" s="204"/>
    </row>
    <row r="87" spans="1:28" ht="243" hidden="1" customHeight="1" x14ac:dyDescent="0.25">
      <c r="A87" s="179">
        <v>66</v>
      </c>
      <c r="B87" s="180"/>
      <c r="C87" s="180"/>
      <c r="D87" s="198"/>
      <c r="E87" s="198"/>
      <c r="F87" s="180"/>
      <c r="G87" s="180"/>
      <c r="H87" s="180"/>
      <c r="I87" s="180"/>
      <c r="J87" s="180"/>
      <c r="K87" s="181"/>
      <c r="L87" s="182"/>
      <c r="M87" s="182">
        <f t="shared" ref="M87:M121" si="5">+L87+K87</f>
        <v>0</v>
      </c>
      <c r="N87" s="194">
        <f t="shared" ref="N87:N121" si="6">+M87*2.1</f>
        <v>0</v>
      </c>
      <c r="O87" s="184"/>
      <c r="P87" s="183"/>
      <c r="Q87" s="184"/>
      <c r="R87" s="183"/>
      <c r="S87" s="185"/>
      <c r="T87" s="185"/>
      <c r="U87" s="186"/>
      <c r="X87" s="173"/>
      <c r="AB87" s="204"/>
    </row>
    <row r="88" spans="1:28" ht="243" hidden="1" customHeight="1" x14ac:dyDescent="0.25">
      <c r="A88" s="179">
        <v>67</v>
      </c>
      <c r="B88" s="180"/>
      <c r="C88" s="180"/>
      <c r="D88" s="198"/>
      <c r="E88" s="198"/>
      <c r="F88" s="180"/>
      <c r="G88" s="180"/>
      <c r="H88" s="180"/>
      <c r="I88" s="180"/>
      <c r="J88" s="180"/>
      <c r="K88" s="181"/>
      <c r="L88" s="182"/>
      <c r="M88" s="182">
        <f t="shared" si="5"/>
        <v>0</v>
      </c>
      <c r="N88" s="194">
        <f t="shared" si="6"/>
        <v>0</v>
      </c>
      <c r="O88" s="184"/>
      <c r="P88" s="183"/>
      <c r="Q88" s="184"/>
      <c r="R88" s="183"/>
      <c r="S88" s="185"/>
      <c r="T88" s="185"/>
      <c r="U88" s="186"/>
      <c r="X88" s="173"/>
      <c r="AB88" s="204"/>
    </row>
    <row r="89" spans="1:28" ht="243" hidden="1" customHeight="1" x14ac:dyDescent="0.25">
      <c r="A89" s="179">
        <v>68</v>
      </c>
      <c r="B89" s="180"/>
      <c r="C89" s="180"/>
      <c r="D89" s="198"/>
      <c r="E89" s="198"/>
      <c r="F89" s="180"/>
      <c r="G89" s="180"/>
      <c r="H89" s="180"/>
      <c r="I89" s="180"/>
      <c r="J89" s="180"/>
      <c r="K89" s="181"/>
      <c r="L89" s="182"/>
      <c r="M89" s="182">
        <f t="shared" si="5"/>
        <v>0</v>
      </c>
      <c r="N89" s="194">
        <f t="shared" si="6"/>
        <v>0</v>
      </c>
      <c r="O89" s="184"/>
      <c r="P89" s="183"/>
      <c r="Q89" s="184"/>
      <c r="R89" s="183"/>
      <c r="S89" s="185"/>
      <c r="T89" s="185"/>
      <c r="U89" s="186"/>
      <c r="X89" s="173"/>
      <c r="AB89" s="204"/>
    </row>
    <row r="90" spans="1:28" ht="243" hidden="1" customHeight="1" x14ac:dyDescent="0.25">
      <c r="A90" s="179">
        <v>69</v>
      </c>
      <c r="B90" s="180"/>
      <c r="C90" s="180"/>
      <c r="D90" s="198"/>
      <c r="E90" s="198"/>
      <c r="F90" s="180"/>
      <c r="G90" s="180"/>
      <c r="H90" s="180"/>
      <c r="I90" s="180"/>
      <c r="J90" s="180"/>
      <c r="K90" s="181"/>
      <c r="L90" s="182"/>
      <c r="M90" s="182">
        <f t="shared" si="5"/>
        <v>0</v>
      </c>
      <c r="N90" s="194">
        <f t="shared" si="6"/>
        <v>0</v>
      </c>
      <c r="O90" s="184"/>
      <c r="P90" s="183"/>
      <c r="Q90" s="184"/>
      <c r="R90" s="183"/>
      <c r="S90" s="185"/>
      <c r="T90" s="185"/>
      <c r="U90" s="186"/>
      <c r="X90" s="173"/>
      <c r="AB90" s="204"/>
    </row>
    <row r="91" spans="1:28" ht="243" hidden="1" customHeight="1" x14ac:dyDescent="0.25">
      <c r="A91" s="179">
        <v>70</v>
      </c>
      <c r="B91" s="180"/>
      <c r="C91" s="180"/>
      <c r="D91" s="198"/>
      <c r="E91" s="198"/>
      <c r="F91" s="180"/>
      <c r="G91" s="180"/>
      <c r="H91" s="180"/>
      <c r="I91" s="180"/>
      <c r="J91" s="180"/>
      <c r="K91" s="181"/>
      <c r="L91" s="182"/>
      <c r="M91" s="182">
        <f t="shared" si="5"/>
        <v>0</v>
      </c>
      <c r="N91" s="194">
        <f t="shared" si="6"/>
        <v>0</v>
      </c>
      <c r="O91" s="184"/>
      <c r="P91" s="183"/>
      <c r="Q91" s="184"/>
      <c r="R91" s="183"/>
      <c r="S91" s="185"/>
      <c r="T91" s="185"/>
      <c r="U91" s="186"/>
      <c r="X91" s="173"/>
      <c r="AB91" s="204"/>
    </row>
    <row r="92" spans="1:28" ht="243" hidden="1" customHeight="1" x14ac:dyDescent="0.25">
      <c r="A92" s="179">
        <v>71</v>
      </c>
      <c r="B92" s="180"/>
      <c r="C92" s="180"/>
      <c r="D92" s="198"/>
      <c r="E92" s="198"/>
      <c r="F92" s="180"/>
      <c r="G92" s="180"/>
      <c r="H92" s="180"/>
      <c r="I92" s="180"/>
      <c r="J92" s="180"/>
      <c r="K92" s="181"/>
      <c r="L92" s="182"/>
      <c r="M92" s="182">
        <f t="shared" si="5"/>
        <v>0</v>
      </c>
      <c r="N92" s="194">
        <f t="shared" si="6"/>
        <v>0</v>
      </c>
      <c r="O92" s="184"/>
      <c r="P92" s="183"/>
      <c r="Q92" s="184"/>
      <c r="R92" s="183"/>
      <c r="S92" s="185"/>
      <c r="T92" s="185"/>
      <c r="U92" s="186"/>
      <c r="X92" s="173"/>
      <c r="AB92" s="204"/>
    </row>
    <row r="93" spans="1:28" ht="243" hidden="1" customHeight="1" x14ac:dyDescent="0.25">
      <c r="A93" s="179">
        <v>72</v>
      </c>
      <c r="B93" s="180"/>
      <c r="C93" s="180"/>
      <c r="D93" s="198"/>
      <c r="E93" s="198"/>
      <c r="F93" s="180"/>
      <c r="G93" s="180"/>
      <c r="H93" s="180"/>
      <c r="I93" s="180"/>
      <c r="J93" s="180"/>
      <c r="K93" s="181"/>
      <c r="L93" s="182"/>
      <c r="M93" s="182">
        <f t="shared" si="5"/>
        <v>0</v>
      </c>
      <c r="N93" s="194">
        <f t="shared" si="6"/>
        <v>0</v>
      </c>
      <c r="O93" s="184"/>
      <c r="P93" s="183"/>
      <c r="Q93" s="184"/>
      <c r="R93" s="183"/>
      <c r="S93" s="185"/>
      <c r="T93" s="185"/>
      <c r="U93" s="186"/>
      <c r="X93" s="173"/>
      <c r="AB93" s="204"/>
    </row>
    <row r="94" spans="1:28" ht="243" hidden="1" customHeight="1" x14ac:dyDescent="0.25">
      <c r="A94" s="179">
        <v>73</v>
      </c>
      <c r="B94" s="180"/>
      <c r="C94" s="180"/>
      <c r="D94" s="198"/>
      <c r="E94" s="198"/>
      <c r="F94" s="180"/>
      <c r="G94" s="180"/>
      <c r="H94" s="180"/>
      <c r="I94" s="180"/>
      <c r="J94" s="180"/>
      <c r="K94" s="181"/>
      <c r="L94" s="182"/>
      <c r="M94" s="182">
        <f t="shared" si="5"/>
        <v>0</v>
      </c>
      <c r="N94" s="194">
        <f t="shared" si="6"/>
        <v>0</v>
      </c>
      <c r="O94" s="184"/>
      <c r="P94" s="183"/>
      <c r="Q94" s="184"/>
      <c r="R94" s="183"/>
      <c r="S94" s="185"/>
      <c r="T94" s="185"/>
      <c r="U94" s="186"/>
      <c r="X94" s="173"/>
      <c r="AB94" s="204"/>
    </row>
    <row r="95" spans="1:28" ht="243" hidden="1" customHeight="1" x14ac:dyDescent="0.25">
      <c r="A95" s="179">
        <v>74</v>
      </c>
      <c r="B95" s="180"/>
      <c r="C95" s="180"/>
      <c r="D95" s="198"/>
      <c r="E95" s="198"/>
      <c r="F95" s="180"/>
      <c r="G95" s="180"/>
      <c r="H95" s="180"/>
      <c r="I95" s="180"/>
      <c r="J95" s="180"/>
      <c r="K95" s="181"/>
      <c r="L95" s="182"/>
      <c r="M95" s="182">
        <f t="shared" si="5"/>
        <v>0</v>
      </c>
      <c r="N95" s="194">
        <f t="shared" si="6"/>
        <v>0</v>
      </c>
      <c r="O95" s="184"/>
      <c r="P95" s="183"/>
      <c r="Q95" s="184"/>
      <c r="R95" s="183"/>
      <c r="S95" s="185"/>
      <c r="T95" s="185"/>
      <c r="U95" s="186"/>
      <c r="X95" s="173"/>
      <c r="AB95" s="204"/>
    </row>
    <row r="96" spans="1:28" ht="243" hidden="1" customHeight="1" x14ac:dyDescent="0.25">
      <c r="A96" s="179">
        <v>75</v>
      </c>
      <c r="B96" s="180"/>
      <c r="C96" s="180"/>
      <c r="D96" s="198"/>
      <c r="E96" s="198"/>
      <c r="F96" s="180"/>
      <c r="G96" s="180"/>
      <c r="H96" s="180"/>
      <c r="I96" s="180"/>
      <c r="J96" s="180"/>
      <c r="K96" s="181"/>
      <c r="L96" s="182"/>
      <c r="M96" s="182">
        <f t="shared" si="5"/>
        <v>0</v>
      </c>
      <c r="N96" s="194">
        <f t="shared" si="6"/>
        <v>0</v>
      </c>
      <c r="O96" s="184"/>
      <c r="P96" s="183"/>
      <c r="Q96" s="184"/>
      <c r="R96" s="183"/>
      <c r="S96" s="185"/>
      <c r="T96" s="185"/>
      <c r="U96" s="186"/>
      <c r="X96" s="173"/>
      <c r="AB96" s="204"/>
    </row>
    <row r="97" spans="1:28" ht="243" hidden="1" customHeight="1" x14ac:dyDescent="0.25">
      <c r="A97" s="179">
        <v>76</v>
      </c>
      <c r="B97" s="180"/>
      <c r="C97" s="180"/>
      <c r="D97" s="198"/>
      <c r="E97" s="198"/>
      <c r="F97" s="180"/>
      <c r="G97" s="180"/>
      <c r="H97" s="180"/>
      <c r="I97" s="180"/>
      <c r="J97" s="180"/>
      <c r="K97" s="181"/>
      <c r="L97" s="182"/>
      <c r="M97" s="182">
        <f t="shared" si="5"/>
        <v>0</v>
      </c>
      <c r="N97" s="194">
        <f t="shared" si="6"/>
        <v>0</v>
      </c>
      <c r="O97" s="184"/>
      <c r="P97" s="183"/>
      <c r="Q97" s="184"/>
      <c r="R97" s="183"/>
      <c r="S97" s="185"/>
      <c r="T97" s="185"/>
      <c r="U97" s="186"/>
      <c r="X97" s="173"/>
      <c r="AB97" s="204"/>
    </row>
    <row r="98" spans="1:28" ht="243" hidden="1" customHeight="1" x14ac:dyDescent="0.25">
      <c r="A98" s="179">
        <v>77</v>
      </c>
      <c r="B98" s="180"/>
      <c r="C98" s="180"/>
      <c r="D98" s="198"/>
      <c r="E98" s="198"/>
      <c r="F98" s="180"/>
      <c r="G98" s="180"/>
      <c r="H98" s="180"/>
      <c r="I98" s="180"/>
      <c r="J98" s="180"/>
      <c r="K98" s="181"/>
      <c r="L98" s="182"/>
      <c r="M98" s="182">
        <f t="shared" si="5"/>
        <v>0</v>
      </c>
      <c r="N98" s="194">
        <f t="shared" si="6"/>
        <v>0</v>
      </c>
      <c r="O98" s="184"/>
      <c r="P98" s="183"/>
      <c r="Q98" s="184"/>
      <c r="R98" s="183"/>
      <c r="S98" s="185"/>
      <c r="T98" s="185"/>
      <c r="U98" s="186"/>
      <c r="X98" s="173"/>
      <c r="AB98" s="204"/>
    </row>
    <row r="99" spans="1:28" ht="243" hidden="1" customHeight="1" x14ac:dyDescent="0.25">
      <c r="A99" s="179">
        <v>78</v>
      </c>
      <c r="B99" s="180"/>
      <c r="C99" s="180"/>
      <c r="D99" s="198"/>
      <c r="E99" s="198"/>
      <c r="F99" s="180"/>
      <c r="G99" s="180"/>
      <c r="H99" s="180"/>
      <c r="I99" s="180"/>
      <c r="J99" s="180"/>
      <c r="K99" s="181"/>
      <c r="L99" s="182"/>
      <c r="M99" s="182">
        <f t="shared" si="5"/>
        <v>0</v>
      </c>
      <c r="N99" s="194">
        <f t="shared" si="6"/>
        <v>0</v>
      </c>
      <c r="O99" s="184"/>
      <c r="P99" s="183"/>
      <c r="Q99" s="184"/>
      <c r="R99" s="183"/>
      <c r="S99" s="185"/>
      <c r="T99" s="185"/>
      <c r="U99" s="186"/>
      <c r="X99" s="173"/>
      <c r="AB99" s="204"/>
    </row>
    <row r="100" spans="1:28" ht="243" hidden="1" customHeight="1" x14ac:dyDescent="0.25">
      <c r="A100" s="179">
        <v>79</v>
      </c>
      <c r="B100" s="180"/>
      <c r="C100" s="180"/>
      <c r="D100" s="198"/>
      <c r="E100" s="198"/>
      <c r="F100" s="180"/>
      <c r="G100" s="180"/>
      <c r="H100" s="180"/>
      <c r="I100" s="180"/>
      <c r="J100" s="180"/>
      <c r="K100" s="181"/>
      <c r="L100" s="182"/>
      <c r="M100" s="182">
        <f t="shared" si="5"/>
        <v>0</v>
      </c>
      <c r="N100" s="194">
        <f t="shared" si="6"/>
        <v>0</v>
      </c>
      <c r="O100" s="184"/>
      <c r="P100" s="183"/>
      <c r="Q100" s="184"/>
      <c r="R100" s="183"/>
      <c r="S100" s="185"/>
      <c r="T100" s="185"/>
      <c r="U100" s="186"/>
      <c r="X100" s="173"/>
      <c r="AB100" s="204"/>
    </row>
    <row r="101" spans="1:28" ht="243" hidden="1" customHeight="1" x14ac:dyDescent="0.25">
      <c r="A101" s="179">
        <v>80</v>
      </c>
      <c r="B101" s="180"/>
      <c r="C101" s="180"/>
      <c r="D101" s="198"/>
      <c r="E101" s="198"/>
      <c r="F101" s="180"/>
      <c r="G101" s="180"/>
      <c r="H101" s="180"/>
      <c r="I101" s="180"/>
      <c r="J101" s="180"/>
      <c r="K101" s="181"/>
      <c r="L101" s="182"/>
      <c r="M101" s="182">
        <f t="shared" si="5"/>
        <v>0</v>
      </c>
      <c r="N101" s="194">
        <f t="shared" si="6"/>
        <v>0</v>
      </c>
      <c r="O101" s="184"/>
      <c r="P101" s="183"/>
      <c r="Q101" s="184"/>
      <c r="R101" s="183"/>
      <c r="S101" s="185"/>
      <c r="T101" s="185"/>
      <c r="U101" s="186"/>
      <c r="X101" s="173"/>
      <c r="AB101" s="204"/>
    </row>
    <row r="102" spans="1:28" ht="243" hidden="1" customHeight="1" x14ac:dyDescent="0.25">
      <c r="A102" s="179">
        <v>81</v>
      </c>
      <c r="B102" s="180"/>
      <c r="C102" s="180"/>
      <c r="D102" s="198"/>
      <c r="E102" s="198"/>
      <c r="F102" s="180"/>
      <c r="G102" s="180"/>
      <c r="H102" s="180"/>
      <c r="I102" s="180"/>
      <c r="J102" s="180"/>
      <c r="K102" s="181"/>
      <c r="L102" s="182"/>
      <c r="M102" s="182">
        <f t="shared" si="5"/>
        <v>0</v>
      </c>
      <c r="N102" s="194">
        <f t="shared" si="6"/>
        <v>0</v>
      </c>
      <c r="O102" s="184"/>
      <c r="P102" s="183"/>
      <c r="Q102" s="184"/>
      <c r="R102" s="183"/>
      <c r="S102" s="185"/>
      <c r="T102" s="185"/>
      <c r="U102" s="186"/>
      <c r="X102" s="173"/>
      <c r="AB102" s="204"/>
    </row>
    <row r="103" spans="1:28" ht="243" hidden="1" customHeight="1" x14ac:dyDescent="0.25">
      <c r="A103" s="179">
        <v>82</v>
      </c>
      <c r="B103" s="180"/>
      <c r="C103" s="180"/>
      <c r="D103" s="198"/>
      <c r="E103" s="198"/>
      <c r="F103" s="180"/>
      <c r="G103" s="180"/>
      <c r="H103" s="180"/>
      <c r="I103" s="180"/>
      <c r="J103" s="180"/>
      <c r="K103" s="181"/>
      <c r="L103" s="182"/>
      <c r="M103" s="182">
        <f t="shared" si="5"/>
        <v>0</v>
      </c>
      <c r="N103" s="194">
        <f t="shared" si="6"/>
        <v>0</v>
      </c>
      <c r="O103" s="184"/>
      <c r="P103" s="183"/>
      <c r="Q103" s="184"/>
      <c r="R103" s="183"/>
      <c r="S103" s="185"/>
      <c r="T103" s="185"/>
      <c r="U103" s="186"/>
      <c r="X103" s="173"/>
      <c r="AB103" s="204"/>
    </row>
    <row r="104" spans="1:28" ht="243" hidden="1" customHeight="1" x14ac:dyDescent="0.25">
      <c r="A104" s="179">
        <v>83</v>
      </c>
      <c r="B104" s="180"/>
      <c r="C104" s="180"/>
      <c r="D104" s="198"/>
      <c r="E104" s="198"/>
      <c r="F104" s="180"/>
      <c r="G104" s="180"/>
      <c r="H104" s="180"/>
      <c r="I104" s="180"/>
      <c r="J104" s="180"/>
      <c r="K104" s="181"/>
      <c r="L104" s="182"/>
      <c r="M104" s="182">
        <f t="shared" si="5"/>
        <v>0</v>
      </c>
      <c r="N104" s="194">
        <f t="shared" si="6"/>
        <v>0</v>
      </c>
      <c r="O104" s="184"/>
      <c r="P104" s="183"/>
      <c r="Q104" s="184"/>
      <c r="R104" s="183"/>
      <c r="S104" s="185"/>
      <c r="T104" s="185"/>
      <c r="U104" s="186"/>
      <c r="X104" s="173"/>
      <c r="AB104" s="204"/>
    </row>
    <row r="105" spans="1:28" ht="243" hidden="1" customHeight="1" x14ac:dyDescent="0.25">
      <c r="A105" s="179">
        <v>84</v>
      </c>
      <c r="B105" s="180"/>
      <c r="C105" s="180"/>
      <c r="D105" s="198"/>
      <c r="E105" s="198"/>
      <c r="F105" s="180"/>
      <c r="G105" s="180"/>
      <c r="H105" s="180"/>
      <c r="I105" s="180"/>
      <c r="J105" s="180"/>
      <c r="K105" s="181"/>
      <c r="L105" s="182"/>
      <c r="M105" s="182">
        <f t="shared" si="5"/>
        <v>0</v>
      </c>
      <c r="N105" s="194">
        <f t="shared" si="6"/>
        <v>0</v>
      </c>
      <c r="O105" s="184"/>
      <c r="P105" s="183"/>
      <c r="Q105" s="184"/>
      <c r="R105" s="183"/>
      <c r="S105" s="185"/>
      <c r="T105" s="185"/>
      <c r="U105" s="186"/>
      <c r="X105" s="173"/>
      <c r="AB105" s="204"/>
    </row>
    <row r="106" spans="1:28" ht="243" hidden="1" customHeight="1" x14ac:dyDescent="0.25">
      <c r="A106" s="179">
        <v>85</v>
      </c>
      <c r="B106" s="180"/>
      <c r="C106" s="180"/>
      <c r="D106" s="198"/>
      <c r="E106" s="198"/>
      <c r="F106" s="180"/>
      <c r="G106" s="180"/>
      <c r="H106" s="180"/>
      <c r="I106" s="180"/>
      <c r="J106" s="180"/>
      <c r="K106" s="181"/>
      <c r="L106" s="182"/>
      <c r="M106" s="182">
        <f t="shared" si="5"/>
        <v>0</v>
      </c>
      <c r="N106" s="194">
        <f t="shared" si="6"/>
        <v>0</v>
      </c>
      <c r="O106" s="184"/>
      <c r="P106" s="183"/>
      <c r="Q106" s="184"/>
      <c r="R106" s="183"/>
      <c r="S106" s="185"/>
      <c r="T106" s="185"/>
      <c r="U106" s="186"/>
      <c r="X106" s="173"/>
      <c r="AB106" s="204"/>
    </row>
    <row r="107" spans="1:28" ht="243" hidden="1" customHeight="1" x14ac:dyDescent="0.25">
      <c r="A107" s="179">
        <v>86</v>
      </c>
      <c r="B107" s="180"/>
      <c r="C107" s="180"/>
      <c r="D107" s="198"/>
      <c r="E107" s="198"/>
      <c r="F107" s="180"/>
      <c r="G107" s="180"/>
      <c r="H107" s="180"/>
      <c r="I107" s="180"/>
      <c r="J107" s="180"/>
      <c r="K107" s="181"/>
      <c r="L107" s="182"/>
      <c r="M107" s="182">
        <f t="shared" si="5"/>
        <v>0</v>
      </c>
      <c r="N107" s="194">
        <f t="shared" si="6"/>
        <v>0</v>
      </c>
      <c r="O107" s="184"/>
      <c r="P107" s="183"/>
      <c r="Q107" s="184"/>
      <c r="R107" s="183"/>
      <c r="S107" s="185"/>
      <c r="T107" s="185"/>
      <c r="U107" s="186"/>
      <c r="X107" s="173"/>
      <c r="AB107" s="204"/>
    </row>
    <row r="108" spans="1:28" ht="243" hidden="1" customHeight="1" x14ac:dyDescent="0.25">
      <c r="A108" s="179">
        <v>87</v>
      </c>
      <c r="B108" s="180"/>
      <c r="C108" s="180"/>
      <c r="D108" s="198"/>
      <c r="E108" s="198"/>
      <c r="F108" s="180"/>
      <c r="G108" s="180"/>
      <c r="H108" s="180"/>
      <c r="I108" s="180"/>
      <c r="J108" s="180"/>
      <c r="K108" s="181"/>
      <c r="L108" s="182"/>
      <c r="M108" s="182">
        <f t="shared" si="5"/>
        <v>0</v>
      </c>
      <c r="N108" s="194">
        <f t="shared" si="6"/>
        <v>0</v>
      </c>
      <c r="O108" s="184"/>
      <c r="P108" s="183"/>
      <c r="Q108" s="184"/>
      <c r="R108" s="183"/>
      <c r="S108" s="185"/>
      <c r="T108" s="185"/>
      <c r="U108" s="186"/>
      <c r="X108" s="173"/>
      <c r="AB108" s="204"/>
    </row>
    <row r="109" spans="1:28" ht="243" hidden="1" customHeight="1" x14ac:dyDescent="0.25">
      <c r="A109" s="179">
        <v>88</v>
      </c>
      <c r="B109" s="180"/>
      <c r="C109" s="180"/>
      <c r="D109" s="198"/>
      <c r="E109" s="198"/>
      <c r="F109" s="180"/>
      <c r="G109" s="180"/>
      <c r="H109" s="180"/>
      <c r="I109" s="180"/>
      <c r="J109" s="180"/>
      <c r="K109" s="181"/>
      <c r="L109" s="182"/>
      <c r="M109" s="182">
        <f t="shared" si="5"/>
        <v>0</v>
      </c>
      <c r="N109" s="194">
        <f t="shared" si="6"/>
        <v>0</v>
      </c>
      <c r="O109" s="184"/>
      <c r="P109" s="183"/>
      <c r="Q109" s="184"/>
      <c r="R109" s="183"/>
      <c r="S109" s="185"/>
      <c r="T109" s="185"/>
      <c r="U109" s="186"/>
      <c r="X109" s="173"/>
      <c r="AB109" s="204"/>
    </row>
    <row r="110" spans="1:28" ht="243" hidden="1" customHeight="1" x14ac:dyDescent="0.25">
      <c r="A110" s="179">
        <v>89</v>
      </c>
      <c r="B110" s="180"/>
      <c r="C110" s="180"/>
      <c r="D110" s="198"/>
      <c r="E110" s="198"/>
      <c r="F110" s="180"/>
      <c r="G110" s="180"/>
      <c r="H110" s="180"/>
      <c r="I110" s="180"/>
      <c r="J110" s="180"/>
      <c r="K110" s="181"/>
      <c r="L110" s="182"/>
      <c r="M110" s="182">
        <f t="shared" si="5"/>
        <v>0</v>
      </c>
      <c r="N110" s="194">
        <f t="shared" si="6"/>
        <v>0</v>
      </c>
      <c r="O110" s="184"/>
      <c r="P110" s="183"/>
      <c r="Q110" s="184"/>
      <c r="R110" s="183"/>
      <c r="S110" s="185"/>
      <c r="T110" s="185"/>
      <c r="U110" s="186"/>
      <c r="X110" s="173"/>
      <c r="AB110" s="204"/>
    </row>
    <row r="111" spans="1:28" ht="243" hidden="1" customHeight="1" x14ac:dyDescent="0.25">
      <c r="A111" s="179">
        <v>90</v>
      </c>
      <c r="B111" s="180"/>
      <c r="C111" s="180"/>
      <c r="D111" s="198"/>
      <c r="E111" s="198"/>
      <c r="F111" s="180"/>
      <c r="G111" s="180"/>
      <c r="H111" s="180"/>
      <c r="I111" s="180"/>
      <c r="J111" s="180"/>
      <c r="K111" s="181"/>
      <c r="L111" s="182"/>
      <c r="M111" s="182">
        <f t="shared" si="5"/>
        <v>0</v>
      </c>
      <c r="N111" s="194">
        <f t="shared" si="6"/>
        <v>0</v>
      </c>
      <c r="O111" s="184"/>
      <c r="P111" s="183"/>
      <c r="Q111" s="184"/>
      <c r="R111" s="183"/>
      <c r="S111" s="185"/>
      <c r="T111" s="185"/>
      <c r="U111" s="186"/>
      <c r="X111" s="173"/>
      <c r="AB111" s="204"/>
    </row>
    <row r="112" spans="1:28" ht="243" hidden="1" customHeight="1" x14ac:dyDescent="0.25">
      <c r="A112" s="179">
        <v>91</v>
      </c>
      <c r="B112" s="180"/>
      <c r="C112" s="180"/>
      <c r="D112" s="198"/>
      <c r="E112" s="198"/>
      <c r="F112" s="180"/>
      <c r="G112" s="180"/>
      <c r="H112" s="180"/>
      <c r="I112" s="180"/>
      <c r="J112" s="180"/>
      <c r="K112" s="181"/>
      <c r="L112" s="182"/>
      <c r="M112" s="182">
        <f t="shared" si="5"/>
        <v>0</v>
      </c>
      <c r="N112" s="194">
        <f t="shared" si="6"/>
        <v>0</v>
      </c>
      <c r="O112" s="184"/>
      <c r="P112" s="183"/>
      <c r="Q112" s="184"/>
      <c r="R112" s="183"/>
      <c r="S112" s="185"/>
      <c r="T112" s="185"/>
      <c r="U112" s="186"/>
      <c r="X112" s="173"/>
      <c r="AB112" s="204"/>
    </row>
    <row r="113" spans="1:28" ht="243" hidden="1" customHeight="1" x14ac:dyDescent="0.25">
      <c r="A113" s="179">
        <v>92</v>
      </c>
      <c r="B113" s="180"/>
      <c r="C113" s="180"/>
      <c r="D113" s="198"/>
      <c r="E113" s="198"/>
      <c r="F113" s="180"/>
      <c r="G113" s="180"/>
      <c r="H113" s="180"/>
      <c r="I113" s="180"/>
      <c r="J113" s="180"/>
      <c r="K113" s="181"/>
      <c r="L113" s="182"/>
      <c r="M113" s="182">
        <f t="shared" si="5"/>
        <v>0</v>
      </c>
      <c r="N113" s="194">
        <f t="shared" si="6"/>
        <v>0</v>
      </c>
      <c r="O113" s="184"/>
      <c r="P113" s="183"/>
      <c r="Q113" s="184"/>
      <c r="R113" s="183"/>
      <c r="S113" s="185"/>
      <c r="T113" s="185"/>
      <c r="U113" s="186"/>
      <c r="X113" s="173"/>
      <c r="AB113" s="204"/>
    </row>
    <row r="114" spans="1:28" ht="243" hidden="1" customHeight="1" x14ac:dyDescent="0.25">
      <c r="A114" s="179">
        <v>93</v>
      </c>
      <c r="B114" s="180"/>
      <c r="C114" s="180"/>
      <c r="D114" s="198"/>
      <c r="E114" s="198"/>
      <c r="F114" s="180"/>
      <c r="G114" s="180"/>
      <c r="H114" s="180"/>
      <c r="I114" s="180"/>
      <c r="J114" s="180"/>
      <c r="K114" s="181"/>
      <c r="L114" s="182"/>
      <c r="M114" s="182">
        <f t="shared" si="5"/>
        <v>0</v>
      </c>
      <c r="N114" s="194">
        <f t="shared" si="6"/>
        <v>0</v>
      </c>
      <c r="O114" s="184"/>
      <c r="P114" s="183"/>
      <c r="Q114" s="184"/>
      <c r="R114" s="183"/>
      <c r="S114" s="185"/>
      <c r="T114" s="185"/>
      <c r="U114" s="186"/>
      <c r="X114" s="173"/>
      <c r="AB114" s="204"/>
    </row>
    <row r="115" spans="1:28" ht="243" hidden="1" customHeight="1" x14ac:dyDescent="0.25">
      <c r="A115" s="179">
        <v>94</v>
      </c>
      <c r="B115" s="180"/>
      <c r="C115" s="180"/>
      <c r="D115" s="198"/>
      <c r="E115" s="198"/>
      <c r="F115" s="180"/>
      <c r="G115" s="180"/>
      <c r="H115" s="180"/>
      <c r="I115" s="180"/>
      <c r="J115" s="180"/>
      <c r="K115" s="181"/>
      <c r="L115" s="182"/>
      <c r="M115" s="182">
        <f t="shared" si="5"/>
        <v>0</v>
      </c>
      <c r="N115" s="194">
        <f t="shared" si="6"/>
        <v>0</v>
      </c>
      <c r="O115" s="184"/>
      <c r="P115" s="183"/>
      <c r="Q115" s="184"/>
      <c r="R115" s="183"/>
      <c r="S115" s="185"/>
      <c r="T115" s="185"/>
      <c r="U115" s="186"/>
      <c r="X115" s="173"/>
      <c r="AB115" s="204"/>
    </row>
    <row r="116" spans="1:28" ht="243" hidden="1" customHeight="1" x14ac:dyDescent="0.25">
      <c r="A116" s="179">
        <v>95</v>
      </c>
      <c r="B116" s="180"/>
      <c r="C116" s="180"/>
      <c r="D116" s="198"/>
      <c r="E116" s="198"/>
      <c r="F116" s="180"/>
      <c r="G116" s="180"/>
      <c r="H116" s="180"/>
      <c r="I116" s="180"/>
      <c r="J116" s="180"/>
      <c r="K116" s="181"/>
      <c r="L116" s="182"/>
      <c r="M116" s="182">
        <f t="shared" si="5"/>
        <v>0</v>
      </c>
      <c r="N116" s="194">
        <f t="shared" si="6"/>
        <v>0</v>
      </c>
      <c r="O116" s="184"/>
      <c r="P116" s="183"/>
      <c r="Q116" s="184"/>
      <c r="R116" s="183"/>
      <c r="S116" s="185"/>
      <c r="T116" s="185"/>
      <c r="U116" s="186"/>
      <c r="X116" s="173"/>
      <c r="AB116" s="204"/>
    </row>
    <row r="117" spans="1:28" ht="243" hidden="1" customHeight="1" x14ac:dyDescent="0.25">
      <c r="A117" s="179">
        <v>96</v>
      </c>
      <c r="B117" s="180"/>
      <c r="C117" s="180"/>
      <c r="D117" s="198"/>
      <c r="E117" s="198"/>
      <c r="F117" s="180"/>
      <c r="G117" s="180"/>
      <c r="H117" s="180"/>
      <c r="I117" s="180"/>
      <c r="J117" s="180"/>
      <c r="K117" s="181"/>
      <c r="L117" s="182"/>
      <c r="M117" s="182">
        <f t="shared" si="5"/>
        <v>0</v>
      </c>
      <c r="N117" s="194">
        <f t="shared" si="6"/>
        <v>0</v>
      </c>
      <c r="O117" s="184"/>
      <c r="P117" s="183"/>
      <c r="Q117" s="184"/>
      <c r="R117" s="183"/>
      <c r="S117" s="185"/>
      <c r="T117" s="185"/>
      <c r="U117" s="186"/>
      <c r="X117" s="173"/>
      <c r="AB117" s="204"/>
    </row>
    <row r="118" spans="1:28" ht="243" hidden="1" customHeight="1" x14ac:dyDescent="0.25">
      <c r="A118" s="179">
        <v>97</v>
      </c>
      <c r="B118" s="180"/>
      <c r="C118" s="180"/>
      <c r="D118" s="198"/>
      <c r="E118" s="198"/>
      <c r="F118" s="180"/>
      <c r="G118" s="180"/>
      <c r="H118" s="180"/>
      <c r="I118" s="180"/>
      <c r="J118" s="180"/>
      <c r="K118" s="181"/>
      <c r="L118" s="182"/>
      <c r="M118" s="182">
        <f t="shared" si="5"/>
        <v>0</v>
      </c>
      <c r="N118" s="194">
        <f t="shared" si="6"/>
        <v>0</v>
      </c>
      <c r="O118" s="184"/>
      <c r="P118" s="183"/>
      <c r="Q118" s="184"/>
      <c r="R118" s="183"/>
      <c r="S118" s="185"/>
      <c r="T118" s="185"/>
      <c r="U118" s="186"/>
      <c r="X118" s="173"/>
      <c r="AB118" s="204"/>
    </row>
    <row r="119" spans="1:28" ht="243" hidden="1" customHeight="1" x14ac:dyDescent="0.25">
      <c r="A119" s="179">
        <v>98</v>
      </c>
      <c r="B119" s="180"/>
      <c r="C119" s="180"/>
      <c r="D119" s="198"/>
      <c r="E119" s="198"/>
      <c r="F119" s="180"/>
      <c r="G119" s="180"/>
      <c r="H119" s="180"/>
      <c r="I119" s="180"/>
      <c r="J119" s="180"/>
      <c r="K119" s="181"/>
      <c r="L119" s="182"/>
      <c r="M119" s="182">
        <f t="shared" si="5"/>
        <v>0</v>
      </c>
      <c r="N119" s="194">
        <f t="shared" si="6"/>
        <v>0</v>
      </c>
      <c r="O119" s="184"/>
      <c r="P119" s="183"/>
      <c r="Q119" s="184"/>
      <c r="R119" s="183"/>
      <c r="S119" s="185"/>
      <c r="T119" s="185"/>
      <c r="U119" s="186"/>
      <c r="X119" s="173"/>
      <c r="AB119" s="204"/>
    </row>
    <row r="120" spans="1:28" ht="243" hidden="1" customHeight="1" x14ac:dyDescent="0.25">
      <c r="A120" s="179">
        <v>99</v>
      </c>
      <c r="B120" s="180"/>
      <c r="C120" s="180"/>
      <c r="D120" s="198"/>
      <c r="E120" s="198"/>
      <c r="F120" s="180"/>
      <c r="G120" s="180"/>
      <c r="H120" s="180"/>
      <c r="I120" s="180"/>
      <c r="J120" s="180"/>
      <c r="K120" s="181"/>
      <c r="L120" s="182"/>
      <c r="M120" s="182">
        <f t="shared" si="5"/>
        <v>0</v>
      </c>
      <c r="N120" s="194">
        <f t="shared" si="6"/>
        <v>0</v>
      </c>
      <c r="O120" s="184"/>
      <c r="P120" s="183"/>
      <c r="Q120" s="184"/>
      <c r="R120" s="183"/>
      <c r="S120" s="185"/>
      <c r="T120" s="185"/>
      <c r="U120" s="186"/>
      <c r="X120" s="173"/>
      <c r="AB120" s="204"/>
    </row>
    <row r="121" spans="1:28" ht="243" hidden="1" customHeight="1" x14ac:dyDescent="0.25">
      <c r="A121" s="180">
        <v>100</v>
      </c>
      <c r="B121" s="180"/>
      <c r="C121" s="180"/>
      <c r="D121" s="198"/>
      <c r="E121" s="198"/>
      <c r="F121" s="180"/>
      <c r="G121" s="180"/>
      <c r="H121" s="180"/>
      <c r="I121" s="180"/>
      <c r="J121" s="180"/>
      <c r="K121" s="181"/>
      <c r="L121" s="182"/>
      <c r="M121" s="182">
        <f t="shared" si="5"/>
        <v>0</v>
      </c>
      <c r="N121" s="194">
        <f t="shared" si="6"/>
        <v>0</v>
      </c>
      <c r="O121" s="184"/>
      <c r="P121" s="183"/>
      <c r="Q121" s="184"/>
      <c r="R121" s="183"/>
      <c r="S121" s="185"/>
      <c r="T121" s="185"/>
      <c r="U121" s="186"/>
      <c r="X121" s="173"/>
      <c r="AB121" s="204"/>
    </row>
    <row r="122" spans="1:28" ht="54" customHeight="1" x14ac:dyDescent="0.25">
      <c r="A122" s="250" t="s">
        <v>124</v>
      </c>
      <c r="B122" s="250"/>
      <c r="C122" s="251"/>
      <c r="D122" s="251"/>
      <c r="E122" s="251"/>
      <c r="F122" s="251"/>
      <c r="G122" s="251"/>
      <c r="H122" s="251"/>
      <c r="I122" s="251"/>
      <c r="J122" s="251"/>
      <c r="K122" s="184"/>
      <c r="L122" s="184"/>
      <c r="M122" s="184">
        <f>SUM(M22:M121)</f>
        <v>10556</v>
      </c>
      <c r="N122" s="194">
        <f>SUM(N22:N121)</f>
        <v>23240.500000000004</v>
      </c>
      <c r="O122" s="196"/>
      <c r="P122" s="196"/>
      <c r="Q122" s="196"/>
      <c r="R122" s="196"/>
      <c r="S122" s="196"/>
      <c r="T122" s="196"/>
      <c r="U122" s="197" t="s">
        <v>1</v>
      </c>
      <c r="X122" s="173">
        <f>SUM(X22:X121)</f>
        <v>12</v>
      </c>
      <c r="Y122" s="240" t="s">
        <v>158</v>
      </c>
      <c r="Z122" s="241"/>
      <c r="AB122" s="205">
        <f>SUM(AB22:AB121)</f>
        <v>5.5</v>
      </c>
    </row>
    <row r="123" spans="1:28" ht="54" customHeight="1" x14ac:dyDescent="0.25">
      <c r="A123" s="252" t="s">
        <v>230</v>
      </c>
      <c r="B123" s="252"/>
      <c r="C123" s="253"/>
      <c r="D123" s="253"/>
      <c r="E123" s="253"/>
      <c r="F123" s="253"/>
      <c r="G123" s="253"/>
      <c r="H123" s="253"/>
      <c r="I123" s="253"/>
      <c r="J123" s="253"/>
      <c r="K123" s="181"/>
      <c r="L123" s="181"/>
      <c r="M123" s="184"/>
      <c r="N123" s="227">
        <f>+N122*0.06</f>
        <v>1394.43</v>
      </c>
      <c r="O123" s="196"/>
      <c r="P123" s="196"/>
      <c r="Q123" s="196"/>
      <c r="R123" s="196"/>
      <c r="S123" s="196"/>
      <c r="T123" s="196"/>
      <c r="U123" s="197" t="s">
        <v>1</v>
      </c>
      <c r="X123" s="173">
        <v>280</v>
      </c>
      <c r="Y123" s="240" t="s">
        <v>159</v>
      </c>
      <c r="Z123" s="241"/>
    </row>
    <row r="124" spans="1:28" ht="54" customHeight="1" x14ac:dyDescent="0.25">
      <c r="A124" s="250" t="s">
        <v>124</v>
      </c>
      <c r="B124" s="250"/>
      <c r="C124" s="251"/>
      <c r="D124" s="251"/>
      <c r="E124" s="251"/>
      <c r="F124" s="251"/>
      <c r="G124" s="251"/>
      <c r="H124" s="251"/>
      <c r="I124" s="251"/>
      <c r="J124" s="251"/>
      <c r="K124" s="181">
        <f>+N124-M122</f>
        <v>11290.070000000003</v>
      </c>
      <c r="L124" s="181"/>
      <c r="M124" s="181"/>
      <c r="N124" s="194">
        <f>+N122-N123</f>
        <v>21846.070000000003</v>
      </c>
      <c r="O124" s="196"/>
      <c r="P124" s="196"/>
      <c r="Q124" s="196"/>
      <c r="R124" s="196"/>
      <c r="S124" s="196"/>
      <c r="T124" s="196"/>
      <c r="U124" s="197" t="s">
        <v>1</v>
      </c>
      <c r="X124" s="173">
        <v>295</v>
      </c>
      <c r="Y124" s="240" t="s">
        <v>161</v>
      </c>
      <c r="Z124" s="241"/>
    </row>
    <row r="125" spans="1:28" ht="54" hidden="1" customHeight="1" x14ac:dyDescent="0.25">
      <c r="A125" s="250" t="s">
        <v>124</v>
      </c>
      <c r="B125" s="250"/>
      <c r="C125" s="251"/>
      <c r="D125" s="251"/>
      <c r="E125" s="251"/>
      <c r="F125" s="251"/>
      <c r="G125" s="251"/>
      <c r="H125" s="251"/>
      <c r="I125" s="251"/>
      <c r="J125" s="251"/>
      <c r="K125" s="181"/>
      <c r="L125" s="181"/>
      <c r="M125" s="181"/>
      <c r="N125" s="194"/>
      <c r="O125" s="196"/>
      <c r="P125" s="196"/>
      <c r="Q125" s="196"/>
      <c r="R125" s="196"/>
      <c r="S125" s="196"/>
      <c r="T125" s="196"/>
      <c r="U125" s="197" t="s">
        <v>1</v>
      </c>
      <c r="X125" s="173">
        <v>600</v>
      </c>
      <c r="Y125" s="240" t="s">
        <v>162</v>
      </c>
      <c r="Z125" s="254"/>
    </row>
    <row r="126" spans="1:28" ht="54" hidden="1" customHeight="1" x14ac:dyDescent="0.25">
      <c r="A126" s="250" t="s">
        <v>124</v>
      </c>
      <c r="B126" s="250"/>
      <c r="C126" s="251"/>
      <c r="D126" s="251"/>
      <c r="E126" s="251"/>
      <c r="F126" s="251"/>
      <c r="G126" s="251"/>
      <c r="H126" s="251"/>
      <c r="I126" s="251"/>
      <c r="J126" s="251"/>
      <c r="K126" s="181"/>
      <c r="L126" s="181"/>
      <c r="M126" s="181"/>
      <c r="N126" s="194"/>
      <c r="O126" s="196"/>
      <c r="P126" s="196"/>
      <c r="Q126" s="196"/>
      <c r="R126" s="196"/>
      <c r="S126" s="196"/>
      <c r="T126" s="196"/>
      <c r="U126" s="197" t="s">
        <v>1</v>
      </c>
      <c r="X126" s="173"/>
      <c r="Y126" s="240" t="s">
        <v>163</v>
      </c>
      <c r="Z126" s="241"/>
    </row>
    <row r="127" spans="1:28" ht="54" customHeight="1" x14ac:dyDescent="0.25">
      <c r="A127" s="250" t="s">
        <v>13</v>
      </c>
      <c r="B127" s="250"/>
      <c r="C127" s="251"/>
      <c r="D127" s="251"/>
      <c r="E127" s="251"/>
      <c r="F127" s="251"/>
      <c r="G127" s="251"/>
      <c r="H127" s="251"/>
      <c r="I127" s="251"/>
      <c r="J127" s="251"/>
      <c r="K127" s="192"/>
      <c r="L127" s="192"/>
      <c r="M127" s="192"/>
      <c r="N127" s="194">
        <v>5660</v>
      </c>
      <c r="O127" s="196"/>
      <c r="P127" s="196"/>
      <c r="Q127" s="196"/>
      <c r="R127" s="196"/>
      <c r="S127" s="196"/>
      <c r="T127" s="196"/>
      <c r="U127" s="197" t="s">
        <v>1</v>
      </c>
      <c r="X127" s="173">
        <f>+(X122*X123)+X124+X125+X126</f>
        <v>4255</v>
      </c>
      <c r="Y127" s="240" t="s">
        <v>160</v>
      </c>
      <c r="Z127" s="241"/>
    </row>
    <row r="128" spans="1:28" ht="54" customHeight="1" x14ac:dyDescent="0.25">
      <c r="A128" s="250" t="s">
        <v>184</v>
      </c>
      <c r="B128" s="250"/>
      <c r="C128" s="251"/>
      <c r="D128" s="251"/>
      <c r="E128" s="251"/>
      <c r="F128" s="251"/>
      <c r="G128" s="251"/>
      <c r="H128" s="251"/>
      <c r="I128" s="251"/>
      <c r="J128" s="251"/>
      <c r="K128" s="192"/>
      <c r="L128" s="192"/>
      <c r="M128" s="192"/>
      <c r="N128" s="194">
        <f>+N124+N127</f>
        <v>27506.070000000003</v>
      </c>
      <c r="O128" s="196"/>
      <c r="P128" s="196"/>
      <c r="Q128" s="196"/>
      <c r="R128" s="196"/>
      <c r="S128" s="196"/>
      <c r="T128" s="196"/>
      <c r="U128" s="197" t="s">
        <v>1</v>
      </c>
    </row>
    <row r="129" spans="1:21" ht="53.45" customHeight="1" thickBot="1" x14ac:dyDescent="0.3">
      <c r="A129" s="43"/>
      <c r="B129" s="43"/>
      <c r="C129" s="42"/>
      <c r="D129" s="43"/>
      <c r="E129" s="43"/>
      <c r="F129" s="42"/>
      <c r="G129" s="42"/>
      <c r="H129" s="42"/>
      <c r="I129" s="42"/>
      <c r="J129" s="42"/>
      <c r="K129" s="42"/>
      <c r="L129" s="42"/>
      <c r="M129" s="42"/>
      <c r="N129" s="74"/>
      <c r="O129" s="42"/>
      <c r="P129" s="42"/>
      <c r="Q129" s="42"/>
      <c r="R129" s="42"/>
      <c r="S129" s="42"/>
      <c r="T129" s="42"/>
      <c r="U129" s="169"/>
    </row>
    <row r="130" spans="1:21" ht="89.45" hidden="1" customHeight="1" thickBot="1" x14ac:dyDescent="0.3">
      <c r="A130" s="310" t="s">
        <v>167</v>
      </c>
      <c r="B130" s="311"/>
      <c r="C130" s="311"/>
      <c r="D130" s="311"/>
      <c r="E130" s="311"/>
      <c r="F130" s="311"/>
      <c r="G130" s="311"/>
      <c r="H130" s="311"/>
      <c r="I130" s="311"/>
      <c r="J130" s="311"/>
      <c r="K130" s="311"/>
      <c r="L130" s="311"/>
      <c r="M130" s="311"/>
      <c r="N130" s="311"/>
      <c r="O130" s="311"/>
      <c r="P130" s="311"/>
      <c r="Q130" s="311"/>
      <c r="R130" s="311"/>
      <c r="S130" s="311"/>
      <c r="T130" s="311"/>
      <c r="U130" s="312"/>
    </row>
    <row r="131" spans="1:21" ht="168" customHeight="1" thickBot="1" x14ac:dyDescent="0.3">
      <c r="A131" s="313" t="s">
        <v>185</v>
      </c>
      <c r="B131" s="314"/>
      <c r="C131" s="314"/>
      <c r="D131" s="314"/>
      <c r="E131" s="314"/>
      <c r="F131" s="314"/>
      <c r="G131" s="314"/>
      <c r="H131" s="314"/>
      <c r="I131" s="314"/>
      <c r="J131" s="314"/>
      <c r="K131" s="314"/>
      <c r="L131" s="314"/>
      <c r="M131" s="314"/>
      <c r="N131" s="314"/>
      <c r="O131" s="314"/>
      <c r="P131" s="314"/>
      <c r="Q131" s="314"/>
      <c r="R131" s="314"/>
      <c r="S131" s="314"/>
      <c r="T131" s="314"/>
      <c r="U131" s="315"/>
    </row>
    <row r="132" spans="1:21" ht="23.25" x14ac:dyDescent="0.25">
      <c r="A132" s="8"/>
      <c r="B132" s="8"/>
      <c r="C132" s="6"/>
      <c r="D132" s="8"/>
      <c r="E132" s="8"/>
      <c r="F132" s="6"/>
      <c r="G132" s="6"/>
      <c r="H132" s="6"/>
      <c r="I132" s="6"/>
      <c r="J132" s="6"/>
      <c r="K132" s="6"/>
      <c r="L132" s="6"/>
      <c r="M132" s="6"/>
      <c r="N132" s="67"/>
      <c r="O132" s="67"/>
      <c r="P132" s="6"/>
      <c r="Q132" s="6"/>
      <c r="R132" s="6"/>
      <c r="S132" s="6"/>
      <c r="T132" s="6"/>
      <c r="U132" s="7"/>
    </row>
    <row r="133" spans="1:21" s="89" customFormat="1" ht="25.15" customHeight="1" x14ac:dyDescent="0.25">
      <c r="A133" s="307" t="s">
        <v>53</v>
      </c>
      <c r="B133" s="308"/>
      <c r="C133" s="308"/>
      <c r="D133" s="308"/>
      <c r="E133" s="308"/>
      <c r="F133" s="308"/>
      <c r="G133" s="308"/>
      <c r="H133" s="308"/>
      <c r="I133" s="308"/>
      <c r="J133" s="308"/>
      <c r="K133" s="308"/>
      <c r="L133" s="308"/>
      <c r="M133" s="308"/>
      <c r="N133" s="308"/>
      <c r="O133" s="124"/>
      <c r="P133" s="124"/>
      <c r="Q133" s="124"/>
      <c r="R133" s="124"/>
      <c r="S133" s="124"/>
      <c r="T133" s="124"/>
      <c r="U133" s="124"/>
    </row>
    <row r="134" spans="1:21" s="89" customFormat="1" ht="25.15" customHeight="1" x14ac:dyDescent="0.25">
      <c r="A134" s="281">
        <v>1</v>
      </c>
      <c r="B134" s="282"/>
      <c r="C134" s="282"/>
      <c r="D134" s="282"/>
      <c r="E134" s="282"/>
      <c r="F134" s="282"/>
      <c r="G134" s="282"/>
      <c r="H134" s="282"/>
      <c r="I134" s="282"/>
      <c r="J134" s="282"/>
      <c r="K134" s="282"/>
      <c r="L134" s="282"/>
      <c r="M134" s="282"/>
      <c r="N134" s="283"/>
      <c r="O134" s="124"/>
      <c r="P134" s="67"/>
      <c r="Q134" s="67"/>
      <c r="R134" s="67"/>
      <c r="S134" s="67"/>
      <c r="T134" s="67"/>
      <c r="U134" s="125"/>
    </row>
    <row r="135" spans="1:21" s="89" customFormat="1" ht="25.15" customHeight="1" x14ac:dyDescent="0.25">
      <c r="A135" s="284">
        <v>2</v>
      </c>
      <c r="B135" s="285"/>
      <c r="C135" s="285"/>
      <c r="D135" s="285"/>
      <c r="E135" s="285"/>
      <c r="F135" s="285"/>
      <c r="G135" s="285"/>
      <c r="H135" s="285"/>
      <c r="I135" s="285"/>
      <c r="J135" s="285"/>
      <c r="K135" s="285"/>
      <c r="L135" s="285"/>
      <c r="M135" s="285"/>
      <c r="N135" s="286"/>
      <c r="O135" s="124"/>
      <c r="P135" s="124"/>
      <c r="Q135" s="124"/>
      <c r="R135" s="124"/>
      <c r="S135" s="124"/>
      <c r="T135" s="124"/>
      <c r="U135" s="124"/>
    </row>
    <row r="136" spans="1:21" s="89" customFormat="1" ht="25.15" customHeight="1" x14ac:dyDescent="0.25">
      <c r="A136" s="284">
        <v>3</v>
      </c>
      <c r="B136" s="285"/>
      <c r="C136" s="285"/>
      <c r="D136" s="285"/>
      <c r="E136" s="285"/>
      <c r="F136" s="285"/>
      <c r="G136" s="285"/>
      <c r="H136" s="285"/>
      <c r="I136" s="285"/>
      <c r="J136" s="285"/>
      <c r="K136" s="287"/>
      <c r="L136" s="287"/>
      <c r="M136" s="287"/>
      <c r="N136" s="288"/>
      <c r="O136" s="126"/>
      <c r="P136" s="126"/>
      <c r="Q136" s="126"/>
      <c r="R136" s="126"/>
      <c r="S136" s="126"/>
      <c r="T136" s="126"/>
      <c r="U136" s="126"/>
    </row>
    <row r="137" spans="1:21" s="89" customFormat="1" ht="25.15" customHeight="1" x14ac:dyDescent="0.25">
      <c r="A137" s="284">
        <v>4</v>
      </c>
      <c r="B137" s="285"/>
      <c r="C137" s="285"/>
      <c r="D137" s="285"/>
      <c r="E137" s="285"/>
      <c r="F137" s="285"/>
      <c r="G137" s="285"/>
      <c r="H137" s="285"/>
      <c r="I137" s="285"/>
      <c r="J137" s="285"/>
      <c r="K137" s="285"/>
      <c r="L137" s="285"/>
      <c r="M137" s="285"/>
      <c r="N137" s="286"/>
      <c r="O137" s="124"/>
      <c r="P137" s="124"/>
      <c r="Q137" s="124"/>
      <c r="R137" s="124"/>
      <c r="S137" s="124"/>
      <c r="T137" s="124"/>
      <c r="U137" s="124"/>
    </row>
    <row r="138" spans="1:21" s="89" customFormat="1" ht="25.15" customHeight="1" x14ac:dyDescent="0.25">
      <c r="A138" s="289">
        <v>5</v>
      </c>
      <c r="B138" s="290"/>
      <c r="C138" s="290"/>
      <c r="D138" s="290"/>
      <c r="E138" s="290"/>
      <c r="F138" s="290"/>
      <c r="G138" s="290"/>
      <c r="H138" s="290"/>
      <c r="I138" s="290"/>
      <c r="J138" s="290"/>
      <c r="K138" s="290"/>
      <c r="L138" s="290"/>
      <c r="M138" s="290"/>
      <c r="N138" s="291"/>
      <c r="O138" s="127"/>
      <c r="P138" s="127"/>
      <c r="Q138" s="127"/>
      <c r="R138" s="127"/>
      <c r="S138" s="127"/>
      <c r="T138" s="127"/>
      <c r="U138" s="127"/>
    </row>
    <row r="139" spans="1:21" ht="52.5" customHeight="1" x14ac:dyDescent="0.25">
      <c r="A139" s="309"/>
      <c r="B139" s="309"/>
      <c r="C139" s="309"/>
      <c r="D139" s="309"/>
      <c r="E139" s="309"/>
      <c r="F139" s="309"/>
      <c r="G139" s="309"/>
      <c r="H139" s="309"/>
      <c r="I139" s="309"/>
      <c r="J139" s="309"/>
      <c r="K139" s="309"/>
      <c r="L139" s="309"/>
      <c r="M139" s="309"/>
      <c r="N139" s="309"/>
      <c r="O139" s="309"/>
      <c r="P139" s="309"/>
      <c r="Q139" s="309"/>
      <c r="R139" s="309"/>
      <c r="S139" s="309"/>
      <c r="T139" s="309"/>
      <c r="U139" s="309"/>
    </row>
    <row r="140" spans="1:21" ht="36.75" hidden="1" customHeight="1" thickBot="1" x14ac:dyDescent="0.3">
      <c r="A140" s="258" t="s">
        <v>59</v>
      </c>
      <c r="B140" s="259"/>
      <c r="C140" s="259"/>
      <c r="D140" s="259"/>
      <c r="E140" s="259"/>
      <c r="F140" s="259"/>
      <c r="G140" s="259"/>
      <c r="H140" s="259"/>
      <c r="I140" s="259"/>
      <c r="J140" s="259"/>
      <c r="K140" s="259"/>
      <c r="L140" s="259"/>
      <c r="M140" s="259"/>
      <c r="N140" s="102"/>
      <c r="O140" s="102"/>
      <c r="P140" s="102"/>
      <c r="Q140" s="102"/>
      <c r="R140" s="102"/>
      <c r="S140" s="102"/>
      <c r="T140" s="102"/>
      <c r="U140" s="66"/>
    </row>
    <row r="141" spans="1:21" ht="23.25" hidden="1" x14ac:dyDescent="0.35">
      <c r="A141" s="292" t="s">
        <v>12</v>
      </c>
      <c r="B141" s="293"/>
      <c r="C141" s="294"/>
      <c r="D141" s="294"/>
      <c r="E141" s="294"/>
      <c r="F141" s="294"/>
      <c r="G141" s="294"/>
      <c r="H141" s="294"/>
      <c r="I141" s="294"/>
      <c r="J141" s="294"/>
      <c r="K141" s="294"/>
      <c r="L141" s="294"/>
      <c r="M141" s="294"/>
      <c r="N141" s="278"/>
      <c r="O141" s="279"/>
      <c r="P141" s="279"/>
      <c r="Q141" s="279"/>
      <c r="R141" s="280"/>
      <c r="S141" s="146"/>
      <c r="T141" s="146"/>
      <c r="U141" s="91"/>
    </row>
    <row r="142" spans="1:21" ht="23.25" hidden="1" x14ac:dyDescent="0.35">
      <c r="A142" s="255"/>
      <c r="B142" s="256"/>
      <c r="C142" s="257"/>
      <c r="D142" s="257"/>
      <c r="E142" s="257"/>
      <c r="F142" s="257"/>
      <c r="G142" s="257"/>
      <c r="H142" s="257"/>
      <c r="I142" s="257"/>
      <c r="J142" s="257"/>
      <c r="K142" s="257"/>
      <c r="L142" s="257"/>
      <c r="M142" s="257"/>
      <c r="N142" s="231"/>
      <c r="O142" s="232"/>
      <c r="P142" s="232"/>
      <c r="Q142" s="232"/>
      <c r="R142" s="233"/>
      <c r="S142" s="146"/>
      <c r="T142" s="146"/>
      <c r="U142" s="91"/>
    </row>
    <row r="143" spans="1:21" ht="23.25" hidden="1" x14ac:dyDescent="0.35">
      <c r="A143" s="255" t="s">
        <v>13</v>
      </c>
      <c r="B143" s="256"/>
      <c r="C143" s="257"/>
      <c r="D143" s="257"/>
      <c r="E143" s="257"/>
      <c r="F143" s="257"/>
      <c r="G143" s="257"/>
      <c r="H143" s="257"/>
      <c r="I143" s="257"/>
      <c r="J143" s="257"/>
      <c r="K143" s="257"/>
      <c r="L143" s="257"/>
      <c r="M143" s="257"/>
      <c r="N143" s="231"/>
      <c r="O143" s="232"/>
      <c r="P143" s="232"/>
      <c r="Q143" s="232"/>
      <c r="R143" s="233"/>
      <c r="S143" s="146"/>
      <c r="T143" s="146"/>
      <c r="U143" s="91"/>
    </row>
    <row r="144" spans="1:21" ht="23.25" hidden="1" x14ac:dyDescent="0.35">
      <c r="A144" s="255"/>
      <c r="B144" s="256"/>
      <c r="C144" s="257"/>
      <c r="D144" s="257"/>
      <c r="E144" s="257"/>
      <c r="F144" s="257"/>
      <c r="G144" s="257"/>
      <c r="H144" s="257"/>
      <c r="I144" s="257"/>
      <c r="J144" s="257"/>
      <c r="K144" s="257"/>
      <c r="L144" s="257"/>
      <c r="M144" s="257"/>
      <c r="N144" s="231"/>
      <c r="O144" s="232"/>
      <c r="P144" s="232"/>
      <c r="Q144" s="232"/>
      <c r="R144" s="233"/>
      <c r="S144" s="146"/>
      <c r="T144" s="146"/>
      <c r="U144" s="91"/>
    </row>
    <row r="145" spans="1:69" ht="23.25" hidden="1" x14ac:dyDescent="0.35">
      <c r="A145" s="255" t="s">
        <v>60</v>
      </c>
      <c r="B145" s="257"/>
      <c r="C145" s="257"/>
      <c r="D145" s="257"/>
      <c r="E145" s="257"/>
      <c r="F145" s="257"/>
      <c r="G145" s="257"/>
      <c r="H145" s="257"/>
      <c r="I145" s="257"/>
      <c r="J145" s="257"/>
      <c r="K145" s="257"/>
      <c r="L145" s="257"/>
      <c r="M145" s="257"/>
      <c r="N145" s="231"/>
      <c r="O145" s="232"/>
      <c r="P145" s="232"/>
      <c r="Q145" s="232"/>
      <c r="R145" s="233"/>
      <c r="S145" s="146"/>
      <c r="T145" s="146"/>
      <c r="U145" s="91"/>
    </row>
    <row r="146" spans="1:69" ht="23.25" hidden="1" x14ac:dyDescent="0.35">
      <c r="A146" s="255"/>
      <c r="B146" s="257"/>
      <c r="C146" s="257"/>
      <c r="D146" s="257"/>
      <c r="E146" s="257"/>
      <c r="F146" s="257"/>
      <c r="G146" s="257"/>
      <c r="H146" s="257"/>
      <c r="I146" s="257"/>
      <c r="J146" s="257"/>
      <c r="K146" s="257"/>
      <c r="L146" s="257"/>
      <c r="M146" s="257"/>
      <c r="N146" s="231"/>
      <c r="O146" s="232"/>
      <c r="P146" s="232"/>
      <c r="Q146" s="232"/>
      <c r="R146" s="233"/>
      <c r="S146" s="146"/>
      <c r="T146" s="146"/>
      <c r="U146" s="91"/>
    </row>
    <row r="147" spans="1:69" ht="23.25" hidden="1" x14ac:dyDescent="0.35">
      <c r="A147" s="255" t="s">
        <v>75</v>
      </c>
      <c r="B147" s="256"/>
      <c r="C147" s="257"/>
      <c r="D147" s="257"/>
      <c r="E147" s="257"/>
      <c r="F147" s="257"/>
      <c r="G147" s="257"/>
      <c r="H147" s="257"/>
      <c r="I147" s="257"/>
      <c r="J147" s="257"/>
      <c r="K147" s="257"/>
      <c r="L147" s="257"/>
      <c r="M147" s="257"/>
      <c r="N147" s="231"/>
      <c r="O147" s="232"/>
      <c r="P147" s="232"/>
      <c r="Q147" s="232"/>
      <c r="R147" s="233"/>
      <c r="S147" s="146"/>
      <c r="T147" s="146"/>
      <c r="U147" s="91"/>
    </row>
    <row r="148" spans="1:69" ht="23.25" hidden="1" x14ac:dyDescent="0.35">
      <c r="A148" s="255"/>
      <c r="B148" s="256"/>
      <c r="C148" s="257"/>
      <c r="D148" s="257"/>
      <c r="E148" s="257"/>
      <c r="F148" s="257"/>
      <c r="G148" s="257"/>
      <c r="H148" s="257"/>
      <c r="I148" s="257"/>
      <c r="J148" s="257"/>
      <c r="K148" s="257"/>
      <c r="L148" s="257"/>
      <c r="M148" s="257"/>
      <c r="N148" s="260"/>
      <c r="O148" s="261"/>
      <c r="P148" s="261"/>
      <c r="Q148" s="261"/>
      <c r="R148" s="262"/>
      <c r="S148" s="145"/>
      <c r="T148" s="145"/>
      <c r="U148" s="96"/>
    </row>
    <row r="149" spans="1:69" ht="23.25" hidden="1" x14ac:dyDescent="0.35">
      <c r="A149" s="255" t="s">
        <v>52</v>
      </c>
      <c r="B149" s="256"/>
      <c r="C149" s="257"/>
      <c r="D149" s="257"/>
      <c r="E149" s="257"/>
      <c r="F149" s="257"/>
      <c r="G149" s="257"/>
      <c r="H149" s="257"/>
      <c r="I149" s="257"/>
      <c r="J149" s="257"/>
      <c r="K149" s="257"/>
      <c r="L149" s="257"/>
      <c r="M149" s="257"/>
      <c r="N149" s="260"/>
      <c r="O149" s="261"/>
      <c r="P149" s="261"/>
      <c r="Q149" s="261"/>
      <c r="R149" s="262"/>
      <c r="S149" s="145"/>
      <c r="T149" s="145"/>
      <c r="U149" s="96"/>
    </row>
    <row r="150" spans="1:69" ht="23.25" hidden="1" x14ac:dyDescent="0.35">
      <c r="A150" s="255"/>
      <c r="B150" s="256"/>
      <c r="C150" s="257"/>
      <c r="D150" s="257"/>
      <c r="E150" s="257"/>
      <c r="F150" s="257"/>
      <c r="G150" s="257"/>
      <c r="H150" s="257"/>
      <c r="I150" s="257"/>
      <c r="J150" s="257"/>
      <c r="K150" s="257"/>
      <c r="L150" s="257"/>
      <c r="M150" s="257"/>
      <c r="N150" s="260"/>
      <c r="O150" s="261"/>
      <c r="P150" s="261"/>
      <c r="Q150" s="261"/>
      <c r="R150" s="262"/>
      <c r="S150" s="145"/>
      <c r="T150" s="145"/>
      <c r="U150" s="96"/>
    </row>
    <row r="151" spans="1:69" ht="23.25" hidden="1" x14ac:dyDescent="0.35">
      <c r="A151" s="255" t="s">
        <v>76</v>
      </c>
      <c r="B151" s="256"/>
      <c r="C151" s="257"/>
      <c r="D151" s="257"/>
      <c r="E151" s="257"/>
      <c r="F151" s="257"/>
      <c r="G151" s="257"/>
      <c r="H151" s="257"/>
      <c r="I151" s="257"/>
      <c r="J151" s="257"/>
      <c r="K151" s="257"/>
      <c r="L151" s="257"/>
      <c r="M151" s="257"/>
      <c r="N151" s="260"/>
      <c r="O151" s="261"/>
      <c r="P151" s="261"/>
      <c r="Q151" s="261"/>
      <c r="R151" s="262"/>
      <c r="S151" s="145"/>
      <c r="T151" s="145"/>
      <c r="U151" s="96"/>
    </row>
    <row r="152" spans="1:69" ht="23.25" hidden="1" x14ac:dyDescent="0.35">
      <c r="A152" s="255"/>
      <c r="B152" s="256"/>
      <c r="C152" s="257"/>
      <c r="D152" s="257"/>
      <c r="E152" s="257"/>
      <c r="F152" s="257"/>
      <c r="G152" s="257"/>
      <c r="H152" s="257"/>
      <c r="I152" s="257"/>
      <c r="J152" s="257"/>
      <c r="K152" s="257"/>
      <c r="L152" s="257"/>
      <c r="M152" s="257"/>
      <c r="N152" s="260"/>
      <c r="O152" s="261"/>
      <c r="P152" s="261"/>
      <c r="Q152" s="261"/>
      <c r="R152" s="262"/>
      <c r="S152" s="145"/>
      <c r="T152" s="145"/>
      <c r="U152" s="96"/>
    </row>
    <row r="153" spans="1:69" ht="23.25" hidden="1" x14ac:dyDescent="0.35">
      <c r="A153" s="255" t="s">
        <v>77</v>
      </c>
      <c r="B153" s="256"/>
      <c r="C153" s="257"/>
      <c r="D153" s="257"/>
      <c r="E153" s="257"/>
      <c r="F153" s="257"/>
      <c r="G153" s="257"/>
      <c r="H153" s="257"/>
      <c r="I153" s="257"/>
      <c r="J153" s="257"/>
      <c r="K153" s="257"/>
      <c r="L153" s="257"/>
      <c r="M153" s="257"/>
      <c r="N153" s="260"/>
      <c r="O153" s="261"/>
      <c r="P153" s="261"/>
      <c r="Q153" s="261"/>
      <c r="R153" s="262"/>
      <c r="S153" s="145"/>
      <c r="T153" s="145"/>
      <c r="U153" s="96"/>
    </row>
    <row r="154" spans="1:69" ht="23.25" hidden="1" x14ac:dyDescent="0.35">
      <c r="A154" s="255"/>
      <c r="B154" s="256"/>
      <c r="C154" s="257"/>
      <c r="D154" s="257"/>
      <c r="E154" s="257"/>
      <c r="F154" s="257"/>
      <c r="G154" s="257"/>
      <c r="H154" s="257"/>
      <c r="I154" s="257"/>
      <c r="J154" s="257"/>
      <c r="K154" s="257"/>
      <c r="L154" s="257"/>
      <c r="M154" s="257"/>
      <c r="N154" s="260"/>
      <c r="O154" s="261"/>
      <c r="P154" s="261"/>
      <c r="Q154" s="261"/>
      <c r="R154" s="262"/>
      <c r="S154" s="145"/>
      <c r="T154" s="145"/>
      <c r="U154" s="96"/>
    </row>
    <row r="155" spans="1:69" ht="23.25" hidden="1" x14ac:dyDescent="0.35">
      <c r="A155" s="255" t="s">
        <v>78</v>
      </c>
      <c r="B155" s="256"/>
      <c r="C155" s="257"/>
      <c r="D155" s="257"/>
      <c r="E155" s="257"/>
      <c r="F155" s="257"/>
      <c r="G155" s="257"/>
      <c r="H155" s="257"/>
      <c r="I155" s="257"/>
      <c r="J155" s="257"/>
      <c r="K155" s="257"/>
      <c r="L155" s="257"/>
      <c r="M155" s="257"/>
      <c r="N155" s="260"/>
      <c r="O155" s="261"/>
      <c r="P155" s="261"/>
      <c r="Q155" s="261"/>
      <c r="R155" s="262"/>
      <c r="S155" s="145"/>
      <c r="T155" s="145"/>
      <c r="U155" s="96"/>
    </row>
    <row r="156" spans="1:69" ht="23.25" hidden="1" x14ac:dyDescent="0.35">
      <c r="A156" s="255"/>
      <c r="B156" s="256"/>
      <c r="C156" s="257"/>
      <c r="D156" s="257"/>
      <c r="E156" s="257"/>
      <c r="F156" s="257"/>
      <c r="G156" s="257"/>
      <c r="H156" s="257"/>
      <c r="I156" s="257"/>
      <c r="J156" s="257"/>
      <c r="K156" s="257"/>
      <c r="L156" s="257"/>
      <c r="M156" s="257"/>
      <c r="N156" s="260"/>
      <c r="O156" s="261"/>
      <c r="P156" s="261"/>
      <c r="Q156" s="261"/>
      <c r="R156" s="262"/>
      <c r="S156" s="145"/>
      <c r="T156" s="145"/>
      <c r="U156" s="96"/>
    </row>
    <row r="157" spans="1:69" ht="24" hidden="1" thickBot="1" x14ac:dyDescent="0.4">
      <c r="A157" s="298" t="s">
        <v>51</v>
      </c>
      <c r="B157" s="299"/>
      <c r="C157" s="300"/>
      <c r="D157" s="300"/>
      <c r="E157" s="300"/>
      <c r="F157" s="300"/>
      <c r="G157" s="300"/>
      <c r="H157" s="300"/>
      <c r="I157" s="300"/>
      <c r="J157" s="300"/>
      <c r="K157" s="300"/>
      <c r="L157" s="300"/>
      <c r="M157" s="300"/>
      <c r="N157" s="295"/>
      <c r="O157" s="296"/>
      <c r="P157" s="296"/>
      <c r="Q157" s="296"/>
      <c r="R157" s="297"/>
      <c r="S157" s="145"/>
      <c r="T157" s="145"/>
      <c r="U157" s="96"/>
    </row>
    <row r="158" spans="1:69" hidden="1" x14ac:dyDescent="0.25"/>
    <row r="159" spans="1:69" s="12" customFormat="1" ht="23.25" hidden="1" x14ac:dyDescent="0.25">
      <c r="A159" s="98" t="s">
        <v>14</v>
      </c>
      <c r="B159" s="99"/>
      <c r="C159" s="90"/>
      <c r="D159" s="100"/>
      <c r="E159" s="100"/>
      <c r="F159" s="90"/>
      <c r="G159" s="90"/>
      <c r="H159" s="90"/>
      <c r="I159" s="90"/>
      <c r="J159" s="90"/>
      <c r="K159" s="90"/>
      <c r="L159" s="90"/>
      <c r="M159" s="90"/>
      <c r="N159" s="90"/>
      <c r="O159" s="90"/>
      <c r="P159" s="90"/>
      <c r="Q159" s="90"/>
      <c r="R159" s="90"/>
      <c r="S159" s="90"/>
      <c r="T159" s="90"/>
      <c r="U159" s="101"/>
      <c r="V159" s="15"/>
      <c r="W159" s="15"/>
      <c r="X159" s="15"/>
      <c r="Y159" s="15"/>
      <c r="Z159" s="15"/>
      <c r="AA159" s="15"/>
      <c r="AB159" s="15"/>
      <c r="AC159" s="15"/>
      <c r="AD159" s="15"/>
      <c r="AE159" s="15"/>
      <c r="AF159" s="15"/>
      <c r="AG159" s="15"/>
      <c r="AH159" s="15"/>
      <c r="AI159" s="15"/>
      <c r="AJ159" s="15"/>
      <c r="AK159" s="15"/>
      <c r="AL159" s="15"/>
      <c r="AM159" s="15"/>
      <c r="AN159" s="15"/>
      <c r="AO159" s="15"/>
      <c r="AP159" s="15"/>
      <c r="AQ159" s="15"/>
      <c r="AR159" s="15"/>
      <c r="AS159" s="15"/>
      <c r="AT159" s="15"/>
      <c r="AU159" s="15"/>
      <c r="AV159" s="15"/>
      <c r="AW159" s="15"/>
      <c r="AX159" s="15"/>
      <c r="AY159" s="15"/>
      <c r="AZ159" s="15"/>
      <c r="BA159" s="15"/>
      <c r="BB159" s="15"/>
      <c r="BC159" s="15"/>
      <c r="BD159" s="15"/>
      <c r="BE159" s="15"/>
      <c r="BF159" s="15"/>
      <c r="BG159" s="15"/>
      <c r="BH159" s="15"/>
      <c r="BI159" s="15"/>
      <c r="BJ159" s="15"/>
      <c r="BK159" s="15"/>
      <c r="BL159" s="15"/>
      <c r="BM159" s="15"/>
      <c r="BN159" s="15"/>
      <c r="BO159" s="15"/>
      <c r="BP159" s="15"/>
      <c r="BQ159" s="15"/>
    </row>
    <row r="160" spans="1:69" ht="223.5" hidden="1" customHeight="1" thickBot="1" x14ac:dyDescent="0.3">
      <c r="A160" s="263"/>
      <c r="B160" s="264"/>
      <c r="C160" s="264"/>
      <c r="D160" s="264"/>
      <c r="E160" s="264"/>
      <c r="F160" s="264"/>
      <c r="G160" s="264"/>
      <c r="H160" s="264"/>
      <c r="I160" s="264"/>
      <c r="J160" s="264"/>
      <c r="K160" s="264"/>
      <c r="L160" s="264"/>
      <c r="M160" s="264"/>
      <c r="N160" s="264"/>
      <c r="O160" s="264"/>
      <c r="P160" s="264"/>
      <c r="Q160" s="264"/>
      <c r="R160" s="264"/>
      <c r="S160" s="264"/>
      <c r="T160" s="264"/>
      <c r="U160" s="265"/>
      <c r="V160" s="15"/>
      <c r="W160" s="15"/>
      <c r="X160" s="15"/>
      <c r="Y160" s="15"/>
      <c r="Z160" s="15"/>
      <c r="AA160" s="15"/>
      <c r="AB160" s="15"/>
      <c r="AC160" s="15"/>
      <c r="AD160" s="15"/>
      <c r="AE160" s="15"/>
      <c r="AF160" s="15"/>
      <c r="AG160" s="15"/>
      <c r="AH160" s="15"/>
      <c r="AI160" s="15"/>
      <c r="AJ160" s="15"/>
      <c r="AK160" s="15"/>
      <c r="AL160" s="15"/>
      <c r="AM160" s="15"/>
      <c r="AN160" s="15"/>
      <c r="AO160" s="15"/>
      <c r="AP160" s="15"/>
      <c r="AQ160" s="15"/>
      <c r="AR160" s="15"/>
      <c r="AS160" s="15"/>
      <c r="AT160" s="15"/>
      <c r="AU160" s="15"/>
      <c r="AV160" s="15"/>
      <c r="AW160" s="15"/>
      <c r="AX160" s="15"/>
      <c r="AY160" s="15"/>
      <c r="AZ160" s="15"/>
      <c r="BA160" s="15"/>
      <c r="BB160" s="15"/>
      <c r="BC160" s="15"/>
      <c r="BD160" s="15"/>
      <c r="BE160" s="15"/>
      <c r="BF160" s="15"/>
      <c r="BG160" s="15"/>
      <c r="BH160" s="15"/>
      <c r="BI160" s="15"/>
      <c r="BJ160" s="15"/>
      <c r="BK160" s="15"/>
      <c r="BL160" s="15"/>
      <c r="BM160" s="15"/>
      <c r="BN160" s="15"/>
      <c r="BO160" s="15"/>
      <c r="BP160" s="15"/>
      <c r="BQ160" s="15"/>
    </row>
    <row r="161" spans="1:21" ht="26.45" hidden="1" customHeight="1" thickBot="1" x14ac:dyDescent="0.3">
      <c r="A161" s="33"/>
      <c r="B161" s="33"/>
      <c r="C161" s="33"/>
      <c r="D161" s="33"/>
      <c r="E161" s="33"/>
      <c r="F161" s="33"/>
      <c r="G161" s="33"/>
      <c r="H161" s="33"/>
      <c r="I161" s="33"/>
      <c r="J161" s="33"/>
      <c r="K161" s="33"/>
      <c r="L161" s="33"/>
      <c r="M161" s="33"/>
      <c r="N161" s="75"/>
      <c r="O161" s="75"/>
      <c r="P161" s="33"/>
      <c r="Q161" s="33"/>
      <c r="R161" s="33"/>
      <c r="S161" s="33"/>
      <c r="T161" s="33"/>
      <c r="U161" s="33"/>
    </row>
    <row r="162" spans="1:21" ht="31.5" hidden="1" x14ac:dyDescent="0.25">
      <c r="A162" s="258" t="s">
        <v>79</v>
      </c>
      <c r="B162" s="269"/>
      <c r="C162" s="269"/>
      <c r="D162" s="269"/>
      <c r="E162" s="269"/>
      <c r="F162" s="269"/>
      <c r="G162" s="269"/>
      <c r="H162" s="269"/>
      <c r="I162" s="269"/>
      <c r="J162" s="269"/>
      <c r="K162" s="269"/>
      <c r="L162" s="269"/>
      <c r="M162" s="269"/>
      <c r="N162" s="270"/>
      <c r="O162" s="270"/>
      <c r="P162" s="270"/>
      <c r="Q162" s="270"/>
      <c r="R162" s="270"/>
      <c r="S162" s="270"/>
      <c r="T162" s="270"/>
      <c r="U162" s="271"/>
    </row>
    <row r="163" spans="1:21" ht="61.15" hidden="1" customHeight="1" thickBot="1" x14ac:dyDescent="0.45">
      <c r="A163" s="272" t="s">
        <v>233</v>
      </c>
      <c r="B163" s="273"/>
      <c r="C163" s="273"/>
      <c r="D163" s="273"/>
      <c r="E163" s="273"/>
      <c r="F163" s="273"/>
      <c r="G163" s="273"/>
      <c r="H163" s="273"/>
      <c r="I163" s="273"/>
      <c r="J163" s="273"/>
      <c r="K163" s="273"/>
      <c r="L163" s="273"/>
      <c r="M163" s="273"/>
      <c r="N163" s="273"/>
      <c r="O163" s="273"/>
      <c r="P163" s="273"/>
      <c r="Q163" s="273"/>
      <c r="R163" s="273"/>
      <c r="S163" s="273"/>
      <c r="T163" s="273"/>
      <c r="U163" s="274"/>
    </row>
    <row r="164" spans="1:21" ht="47.45" hidden="1" customHeight="1" x14ac:dyDescent="0.35">
      <c r="A164" s="266" t="s">
        <v>15</v>
      </c>
      <c r="B164" s="267"/>
      <c r="C164" s="267"/>
      <c r="D164" s="267"/>
      <c r="E164" s="267"/>
      <c r="F164" s="267"/>
      <c r="G164" s="267"/>
      <c r="H164" s="267"/>
      <c r="I164" s="267"/>
      <c r="J164" s="267"/>
      <c r="K164" s="267"/>
      <c r="L164" s="267"/>
      <c r="M164" s="267"/>
      <c r="N164" s="267"/>
      <c r="O164" s="267"/>
      <c r="P164" s="267"/>
      <c r="Q164" s="267"/>
      <c r="R164" s="267"/>
      <c r="S164" s="267"/>
      <c r="T164" s="267"/>
      <c r="U164" s="268"/>
    </row>
    <row r="165" spans="1:21" ht="64.900000000000006" hidden="1" customHeight="1" x14ac:dyDescent="0.35">
      <c r="A165" s="266" t="s">
        <v>16</v>
      </c>
      <c r="B165" s="267"/>
      <c r="C165" s="267"/>
      <c r="D165" s="267"/>
      <c r="E165" s="267"/>
      <c r="F165" s="267"/>
      <c r="G165" s="267"/>
      <c r="H165" s="267"/>
      <c r="I165" s="267"/>
      <c r="J165" s="267"/>
      <c r="K165" s="267"/>
      <c r="L165" s="267"/>
      <c r="M165" s="267"/>
      <c r="N165" s="267"/>
      <c r="O165" s="267"/>
      <c r="P165" s="267"/>
      <c r="Q165" s="267"/>
      <c r="R165" s="267"/>
      <c r="S165" s="267"/>
      <c r="T165" s="267"/>
      <c r="U165" s="268"/>
    </row>
    <row r="166" spans="1:21" ht="64.900000000000006" hidden="1" customHeight="1" x14ac:dyDescent="0.35">
      <c r="A166" s="266" t="s">
        <v>17</v>
      </c>
      <c r="B166" s="267"/>
      <c r="C166" s="267"/>
      <c r="D166" s="267"/>
      <c r="E166" s="267"/>
      <c r="F166" s="267"/>
      <c r="G166" s="267"/>
      <c r="H166" s="267"/>
      <c r="I166" s="267"/>
      <c r="J166" s="267"/>
      <c r="K166" s="267"/>
      <c r="L166" s="267"/>
      <c r="M166" s="267"/>
      <c r="N166" s="267"/>
      <c r="O166" s="267"/>
      <c r="P166" s="267"/>
      <c r="Q166" s="267"/>
      <c r="R166" s="267"/>
      <c r="S166" s="267"/>
      <c r="T166" s="267"/>
      <c r="U166" s="268"/>
    </row>
    <row r="167" spans="1:21" ht="27" hidden="1" customHeight="1" x14ac:dyDescent="0.35">
      <c r="A167" s="266"/>
      <c r="B167" s="267"/>
      <c r="C167" s="267"/>
      <c r="D167" s="267"/>
      <c r="E167" s="267"/>
      <c r="F167" s="267"/>
      <c r="G167" s="267"/>
      <c r="H167" s="267"/>
      <c r="I167" s="267"/>
      <c r="J167" s="267"/>
      <c r="K167" s="267"/>
      <c r="L167" s="267"/>
      <c r="M167" s="267"/>
      <c r="N167" s="267"/>
      <c r="O167" s="267"/>
      <c r="P167" s="267"/>
      <c r="Q167" s="267"/>
      <c r="R167" s="267"/>
      <c r="S167" s="267"/>
      <c r="T167" s="267"/>
      <c r="U167" s="268"/>
    </row>
    <row r="168" spans="1:21" ht="23.25" hidden="1" x14ac:dyDescent="0.35">
      <c r="A168" s="266" t="s">
        <v>81</v>
      </c>
      <c r="B168" s="267"/>
      <c r="C168" s="267"/>
      <c r="D168" s="267"/>
      <c r="E168" s="267"/>
      <c r="F168" s="267"/>
      <c r="G168" s="267"/>
      <c r="H168" s="267"/>
      <c r="I168" s="267"/>
      <c r="J168" s="267"/>
      <c r="K168" s="267"/>
      <c r="L168" s="267"/>
      <c r="M168" s="267"/>
      <c r="N168" s="267"/>
      <c r="O168" s="267"/>
      <c r="P168" s="267"/>
      <c r="Q168" s="267"/>
      <c r="R168" s="267"/>
      <c r="S168" s="267"/>
      <c r="T168" s="267"/>
      <c r="U168" s="268"/>
    </row>
    <row r="169" spans="1:21" ht="23.25" hidden="1" x14ac:dyDescent="0.35">
      <c r="A169" s="266" t="s">
        <v>82</v>
      </c>
      <c r="B169" s="267"/>
      <c r="C169" s="267"/>
      <c r="D169" s="267"/>
      <c r="E169" s="267"/>
      <c r="F169" s="267"/>
      <c r="G169" s="267"/>
      <c r="H169" s="267"/>
      <c r="I169" s="267"/>
      <c r="J169" s="267"/>
      <c r="K169" s="267"/>
      <c r="L169" s="267"/>
      <c r="M169" s="267"/>
      <c r="N169" s="267"/>
      <c r="O169" s="267"/>
      <c r="P169" s="267"/>
      <c r="Q169" s="267"/>
      <c r="R169" s="267"/>
      <c r="S169" s="267"/>
      <c r="T169" s="267"/>
      <c r="U169" s="268"/>
    </row>
    <row r="170" spans="1:21" ht="23.25" hidden="1" x14ac:dyDescent="0.35">
      <c r="A170" s="266" t="s">
        <v>83</v>
      </c>
      <c r="B170" s="267"/>
      <c r="C170" s="267"/>
      <c r="D170" s="267"/>
      <c r="E170" s="267"/>
      <c r="F170" s="267"/>
      <c r="G170" s="267"/>
      <c r="H170" s="267"/>
      <c r="I170" s="267"/>
      <c r="J170" s="267"/>
      <c r="K170" s="267"/>
      <c r="L170" s="267"/>
      <c r="M170" s="267"/>
      <c r="N170" s="267"/>
      <c r="O170" s="267"/>
      <c r="P170" s="267"/>
      <c r="Q170" s="267"/>
      <c r="R170" s="267"/>
      <c r="S170" s="267"/>
      <c r="T170" s="267"/>
      <c r="U170" s="268"/>
    </row>
    <row r="171" spans="1:21" ht="23.25" hidden="1" x14ac:dyDescent="0.35">
      <c r="A171" s="266" t="s">
        <v>84</v>
      </c>
      <c r="B171" s="267"/>
      <c r="C171" s="267"/>
      <c r="D171" s="267"/>
      <c r="E171" s="267"/>
      <c r="F171" s="267"/>
      <c r="G171" s="267"/>
      <c r="H171" s="267"/>
      <c r="I171" s="267"/>
      <c r="J171" s="267"/>
      <c r="K171" s="267"/>
      <c r="L171" s="267"/>
      <c r="M171" s="267"/>
      <c r="N171" s="267"/>
      <c r="O171" s="267"/>
      <c r="P171" s="267"/>
      <c r="Q171" s="267"/>
      <c r="R171" s="267"/>
      <c r="S171" s="267"/>
      <c r="T171" s="267"/>
      <c r="U171" s="268"/>
    </row>
    <row r="172" spans="1:21" ht="23.25" hidden="1" x14ac:dyDescent="0.35">
      <c r="A172" s="266" t="s">
        <v>85</v>
      </c>
      <c r="B172" s="267"/>
      <c r="C172" s="267"/>
      <c r="D172" s="267"/>
      <c r="E172" s="267"/>
      <c r="F172" s="267"/>
      <c r="G172" s="267"/>
      <c r="H172" s="267"/>
      <c r="I172" s="267"/>
      <c r="J172" s="267"/>
      <c r="K172" s="267"/>
      <c r="L172" s="267"/>
      <c r="M172" s="267"/>
      <c r="N172" s="267"/>
      <c r="O172" s="267"/>
      <c r="P172" s="267"/>
      <c r="Q172" s="267"/>
      <c r="R172" s="267"/>
      <c r="S172" s="267"/>
      <c r="T172" s="267"/>
      <c r="U172" s="268"/>
    </row>
    <row r="173" spans="1:21" ht="24" hidden="1" thickBot="1" x14ac:dyDescent="0.4">
      <c r="A173" s="275" t="s">
        <v>86</v>
      </c>
      <c r="B173" s="276"/>
      <c r="C173" s="276"/>
      <c r="D173" s="276"/>
      <c r="E173" s="276"/>
      <c r="F173" s="276"/>
      <c r="G173" s="276"/>
      <c r="H173" s="276"/>
      <c r="I173" s="276"/>
      <c r="J173" s="276"/>
      <c r="K173" s="276"/>
      <c r="L173" s="276"/>
      <c r="M173" s="276"/>
      <c r="N173" s="276"/>
      <c r="O173" s="276"/>
      <c r="P173" s="276"/>
      <c r="Q173" s="276"/>
      <c r="R173" s="276"/>
      <c r="S173" s="276"/>
      <c r="T173" s="276"/>
      <c r="U173" s="277"/>
    </row>
    <row r="174" spans="1:21" hidden="1" x14ac:dyDescent="0.25"/>
    <row r="175" spans="1:21" ht="23.25" hidden="1" x14ac:dyDescent="0.25">
      <c r="A175" s="48" t="s">
        <v>18</v>
      </c>
      <c r="B175" s="81"/>
      <c r="C175" s="38"/>
      <c r="D175" s="21"/>
      <c r="E175" s="21"/>
      <c r="F175" s="38"/>
      <c r="G175" s="38"/>
      <c r="H175" s="38"/>
      <c r="I175" s="38"/>
      <c r="J175" s="38"/>
      <c r="K175" s="38"/>
      <c r="L175" s="38"/>
      <c r="M175" s="38"/>
      <c r="N175" s="38"/>
      <c r="O175" s="38"/>
      <c r="P175" s="38"/>
      <c r="Q175" s="38"/>
      <c r="R175" s="38"/>
      <c r="S175" s="38"/>
      <c r="T175" s="38"/>
      <c r="U175" s="49"/>
    </row>
    <row r="176" spans="1:21" ht="23.25" hidden="1" x14ac:dyDescent="0.25">
      <c r="A176" s="20" t="s">
        <v>19</v>
      </c>
      <c r="B176" s="79"/>
      <c r="C176" s="39"/>
      <c r="D176" s="22"/>
      <c r="E176" s="22"/>
      <c r="F176" s="39"/>
      <c r="G176" s="39"/>
      <c r="H176" s="39"/>
      <c r="I176" s="39"/>
      <c r="J176" s="39"/>
      <c r="K176" s="39"/>
      <c r="L176" s="39"/>
      <c r="M176" s="39"/>
      <c r="N176" s="39"/>
      <c r="O176" s="39"/>
      <c r="P176" s="39"/>
      <c r="Q176" s="39"/>
      <c r="R176" s="39"/>
      <c r="S176" s="39"/>
      <c r="T176" s="39"/>
      <c r="U176" s="50"/>
    </row>
    <row r="177" spans="1:21" ht="23.25" hidden="1" x14ac:dyDescent="0.25">
      <c r="A177" s="51" t="s">
        <v>20</v>
      </c>
      <c r="B177" s="82"/>
      <c r="C177" s="39"/>
      <c r="D177" s="22"/>
      <c r="E177" s="22"/>
      <c r="F177" s="39"/>
      <c r="G177" s="39"/>
      <c r="H177" s="39"/>
      <c r="I177" s="39"/>
      <c r="J177" s="39"/>
      <c r="K177" s="39"/>
      <c r="L177" s="39"/>
      <c r="M177" s="39"/>
      <c r="N177" s="39"/>
      <c r="O177" s="39"/>
      <c r="P177" s="39"/>
      <c r="Q177" s="39"/>
      <c r="R177" s="39"/>
      <c r="S177" s="39"/>
      <c r="T177" s="39"/>
      <c r="U177" s="50"/>
    </row>
    <row r="178" spans="1:21" ht="23.25" hidden="1" x14ac:dyDescent="0.25">
      <c r="A178" s="47" t="s">
        <v>28</v>
      </c>
      <c r="B178" s="83"/>
      <c r="C178" s="39"/>
      <c r="D178" s="22"/>
      <c r="E178" s="22"/>
      <c r="F178" s="39"/>
      <c r="G178" s="39"/>
      <c r="H178" s="39"/>
      <c r="I178" s="39"/>
      <c r="J178" s="39"/>
      <c r="K178" s="39"/>
      <c r="L178" s="39"/>
      <c r="M178" s="39"/>
      <c r="N178" s="39"/>
      <c r="O178" s="39"/>
      <c r="P178" s="39"/>
      <c r="Q178" s="39"/>
      <c r="R178" s="39"/>
      <c r="S178" s="39"/>
      <c r="T178" s="39"/>
      <c r="U178" s="50"/>
    </row>
    <row r="179" spans="1:21" ht="23.25" hidden="1" x14ac:dyDescent="0.25">
      <c r="A179" s="47" t="s">
        <v>29</v>
      </c>
      <c r="B179" s="83"/>
      <c r="C179" s="39"/>
      <c r="D179" s="22"/>
      <c r="E179" s="22"/>
      <c r="F179" s="39"/>
      <c r="G179" s="39"/>
      <c r="H179" s="39"/>
      <c r="I179" s="39"/>
      <c r="J179" s="39"/>
      <c r="K179" s="39"/>
      <c r="L179" s="39"/>
      <c r="M179" s="39"/>
      <c r="N179" s="39"/>
      <c r="O179" s="39"/>
      <c r="P179" s="39"/>
      <c r="Q179" s="39"/>
      <c r="R179" s="39"/>
      <c r="S179" s="39"/>
      <c r="T179" s="39"/>
      <c r="U179" s="50"/>
    </row>
    <row r="180" spans="1:21" ht="23.25" hidden="1" x14ac:dyDescent="0.25">
      <c r="A180" s="47" t="s">
        <v>30</v>
      </c>
      <c r="B180" s="83"/>
      <c r="C180" s="39"/>
      <c r="D180" s="22"/>
      <c r="E180" s="22"/>
      <c r="F180" s="39"/>
      <c r="G180" s="39"/>
      <c r="H180" s="39"/>
      <c r="I180" s="39"/>
      <c r="J180" s="39"/>
      <c r="K180" s="39"/>
      <c r="L180" s="39"/>
      <c r="M180" s="39"/>
      <c r="N180" s="39"/>
      <c r="O180" s="39"/>
      <c r="P180" s="39"/>
      <c r="Q180" s="39"/>
      <c r="R180" s="39"/>
      <c r="S180" s="39"/>
      <c r="T180" s="39"/>
      <c r="U180" s="50"/>
    </row>
    <row r="181" spans="1:21" ht="23.25" hidden="1" x14ac:dyDescent="0.35">
      <c r="A181" s="52"/>
      <c r="B181" s="84"/>
      <c r="C181" s="39"/>
      <c r="D181" s="22"/>
      <c r="E181" s="22"/>
      <c r="F181" s="39"/>
      <c r="G181" s="39"/>
      <c r="H181" s="39"/>
      <c r="I181" s="39"/>
      <c r="J181" s="39"/>
      <c r="K181" s="39"/>
      <c r="L181" s="39"/>
      <c r="M181" s="39"/>
      <c r="N181" s="39"/>
      <c r="O181" s="39"/>
      <c r="P181" s="39"/>
      <c r="Q181" s="39"/>
      <c r="R181" s="39"/>
      <c r="S181" s="39"/>
      <c r="T181" s="39"/>
      <c r="U181" s="50"/>
    </row>
    <row r="182" spans="1:21" ht="23.25" hidden="1" x14ac:dyDescent="0.25">
      <c r="A182" s="47" t="s">
        <v>31</v>
      </c>
      <c r="B182" s="83"/>
      <c r="C182" s="39"/>
      <c r="D182" s="22"/>
      <c r="E182" s="22"/>
      <c r="F182" s="39"/>
      <c r="G182" s="39"/>
      <c r="H182" s="39"/>
      <c r="I182" s="39"/>
      <c r="J182" s="39"/>
      <c r="K182" s="39"/>
      <c r="L182" s="39"/>
      <c r="M182" s="39"/>
      <c r="N182" s="39"/>
      <c r="O182" s="39"/>
      <c r="P182" s="39"/>
      <c r="Q182" s="39"/>
      <c r="R182" s="39"/>
      <c r="S182" s="39"/>
      <c r="T182" s="39"/>
      <c r="U182" s="50"/>
    </row>
    <row r="183" spans="1:21" ht="23.25" hidden="1" x14ac:dyDescent="0.25">
      <c r="A183" s="47" t="s">
        <v>32</v>
      </c>
      <c r="B183" s="83"/>
      <c r="C183" s="39"/>
      <c r="D183" s="22"/>
      <c r="E183" s="22"/>
      <c r="F183" s="39"/>
      <c r="G183" s="39"/>
      <c r="H183" s="39"/>
      <c r="I183" s="39"/>
      <c r="J183" s="39"/>
      <c r="K183" s="39"/>
      <c r="L183" s="39"/>
      <c r="M183" s="39"/>
      <c r="N183" s="39"/>
      <c r="O183" s="39"/>
      <c r="P183" s="39"/>
      <c r="Q183" s="39"/>
      <c r="R183" s="39"/>
      <c r="S183" s="39"/>
      <c r="T183" s="39"/>
      <c r="U183" s="50"/>
    </row>
    <row r="184" spans="1:21" ht="23.25" hidden="1" x14ac:dyDescent="0.25">
      <c r="A184" s="47" t="s">
        <v>33</v>
      </c>
      <c r="B184" s="83"/>
      <c r="C184" s="39"/>
      <c r="D184" s="22"/>
      <c r="E184" s="22"/>
      <c r="F184" s="39"/>
      <c r="G184" s="39"/>
      <c r="H184" s="39"/>
      <c r="I184" s="39"/>
      <c r="J184" s="39"/>
      <c r="K184" s="39"/>
      <c r="L184" s="39"/>
      <c r="M184" s="39"/>
      <c r="N184" s="39"/>
      <c r="O184" s="39"/>
      <c r="P184" s="39"/>
      <c r="Q184" s="39"/>
      <c r="R184" s="39"/>
      <c r="S184" s="39"/>
      <c r="T184" s="39"/>
      <c r="U184" s="50"/>
    </row>
    <row r="185" spans="1:21" ht="23.25" hidden="1" x14ac:dyDescent="0.25">
      <c r="A185" s="47" t="s">
        <v>27</v>
      </c>
      <c r="B185" s="83"/>
      <c r="C185" s="39"/>
      <c r="D185" s="22"/>
      <c r="E185" s="22"/>
      <c r="F185" s="39"/>
      <c r="G185" s="39"/>
      <c r="H185" s="39"/>
      <c r="I185" s="39"/>
      <c r="J185" s="39"/>
      <c r="K185" s="39"/>
      <c r="L185" s="39"/>
      <c r="M185" s="39"/>
      <c r="N185" s="39"/>
      <c r="O185" s="39"/>
      <c r="P185" s="39"/>
      <c r="Q185" s="39"/>
      <c r="R185" s="39"/>
      <c r="S185" s="39"/>
      <c r="T185" s="39"/>
      <c r="U185" s="50"/>
    </row>
    <row r="186" spans="1:21" ht="23.25" hidden="1" x14ac:dyDescent="0.25">
      <c r="A186" s="47" t="s">
        <v>39</v>
      </c>
      <c r="B186" s="83"/>
      <c r="C186" s="39"/>
      <c r="D186" s="22"/>
      <c r="E186" s="22"/>
      <c r="F186" s="39"/>
      <c r="G186" s="39"/>
      <c r="H186" s="39"/>
      <c r="I186" s="39"/>
      <c r="J186" s="39"/>
      <c r="K186" s="39"/>
      <c r="L186" s="39"/>
      <c r="M186" s="39"/>
      <c r="N186" s="39"/>
      <c r="O186" s="39"/>
      <c r="P186" s="39"/>
      <c r="Q186" s="39"/>
      <c r="R186" s="39"/>
      <c r="S186" s="39"/>
      <c r="T186" s="39"/>
      <c r="U186" s="55"/>
    </row>
    <row r="187" spans="1:21" ht="23.25" hidden="1" x14ac:dyDescent="0.25">
      <c r="A187" s="47" t="s">
        <v>26</v>
      </c>
      <c r="B187" s="83"/>
      <c r="C187" s="39"/>
      <c r="D187" s="22"/>
      <c r="E187" s="22"/>
      <c r="F187" s="39"/>
      <c r="G187" s="39"/>
      <c r="H187" s="39"/>
      <c r="I187" s="39"/>
      <c r="J187" s="39"/>
      <c r="K187" s="39"/>
      <c r="L187" s="39"/>
      <c r="M187" s="39"/>
      <c r="N187" s="39"/>
      <c r="O187" s="39"/>
      <c r="P187" s="39"/>
      <c r="Q187" s="39"/>
      <c r="R187" s="39"/>
      <c r="S187" s="39"/>
      <c r="T187" s="39"/>
      <c r="U187" s="50"/>
    </row>
    <row r="188" spans="1:21" ht="23.25" hidden="1" x14ac:dyDescent="0.25">
      <c r="A188" s="51" t="s">
        <v>25</v>
      </c>
      <c r="B188" s="82"/>
      <c r="C188" s="39"/>
      <c r="D188" s="22"/>
      <c r="E188" s="22"/>
      <c r="F188" s="39"/>
      <c r="G188" s="39"/>
      <c r="H188" s="39"/>
      <c r="I188" s="39"/>
      <c r="J188" s="39"/>
      <c r="K188" s="39"/>
      <c r="L188" s="39"/>
      <c r="M188" s="39"/>
      <c r="N188" s="39"/>
      <c r="O188" s="39"/>
      <c r="P188" s="39"/>
      <c r="Q188" s="39"/>
      <c r="R188" s="39"/>
      <c r="S188" s="39"/>
      <c r="T188" s="39"/>
      <c r="U188" s="50"/>
    </row>
    <row r="189" spans="1:21" ht="23.25" hidden="1" x14ac:dyDescent="0.25">
      <c r="A189" s="47" t="s">
        <v>34</v>
      </c>
      <c r="B189" s="83"/>
      <c r="C189" s="39"/>
      <c r="D189" s="22"/>
      <c r="E189" s="22"/>
      <c r="F189" s="39"/>
      <c r="G189" s="39"/>
      <c r="H189" s="39"/>
      <c r="I189" s="39"/>
      <c r="J189" s="39"/>
      <c r="K189" s="39"/>
      <c r="L189" s="39"/>
      <c r="M189" s="39"/>
      <c r="N189" s="39"/>
      <c r="O189" s="39"/>
      <c r="P189" s="39"/>
      <c r="Q189" s="39"/>
      <c r="R189" s="39"/>
      <c r="S189" s="39"/>
      <c r="T189" s="39"/>
      <c r="U189" s="50"/>
    </row>
    <row r="190" spans="1:21" ht="23.25" hidden="1" x14ac:dyDescent="0.25">
      <c r="A190" s="47" t="s">
        <v>35</v>
      </c>
      <c r="B190" s="83"/>
      <c r="C190" s="39"/>
      <c r="D190" s="22"/>
      <c r="E190" s="22"/>
      <c r="F190" s="39"/>
      <c r="G190" s="39"/>
      <c r="H190" s="39"/>
      <c r="I190" s="39"/>
      <c r="J190" s="39"/>
      <c r="K190" s="39"/>
      <c r="L190" s="39"/>
      <c r="M190" s="39"/>
      <c r="N190" s="39"/>
      <c r="O190" s="39"/>
      <c r="P190" s="39"/>
      <c r="Q190" s="39"/>
      <c r="R190" s="39"/>
      <c r="S190" s="39"/>
      <c r="T190" s="39"/>
      <c r="U190" s="50"/>
    </row>
    <row r="191" spans="1:21" ht="23.25" hidden="1" x14ac:dyDescent="0.25">
      <c r="A191" s="47"/>
      <c r="B191" s="83"/>
      <c r="C191" s="39"/>
      <c r="D191" s="22"/>
      <c r="E191" s="22"/>
      <c r="F191" s="39"/>
      <c r="G191" s="39"/>
      <c r="H191" s="39"/>
      <c r="I191" s="39"/>
      <c r="J191" s="39"/>
      <c r="K191" s="39"/>
      <c r="L191" s="39"/>
      <c r="M191" s="39"/>
      <c r="N191" s="39"/>
      <c r="O191" s="39"/>
      <c r="P191" s="39"/>
      <c r="Q191" s="39"/>
      <c r="R191" s="39"/>
      <c r="S191" s="39"/>
      <c r="T191" s="39"/>
      <c r="U191" s="50"/>
    </row>
    <row r="192" spans="1:21" ht="23.25" hidden="1" x14ac:dyDescent="0.25">
      <c r="A192" s="47" t="s">
        <v>36</v>
      </c>
      <c r="B192" s="83"/>
      <c r="C192" s="39"/>
      <c r="D192" s="22"/>
      <c r="E192" s="22"/>
      <c r="F192" s="39"/>
      <c r="G192" s="39"/>
      <c r="H192" s="39"/>
      <c r="I192" s="39"/>
      <c r="J192" s="39"/>
      <c r="K192" s="39"/>
      <c r="L192" s="39"/>
      <c r="M192" s="39"/>
      <c r="N192" s="39"/>
      <c r="O192" s="39"/>
      <c r="P192" s="39"/>
      <c r="Q192" s="39"/>
      <c r="R192" s="39"/>
      <c r="S192" s="39"/>
      <c r="T192" s="39"/>
      <c r="U192" s="50"/>
    </row>
    <row r="193" spans="1:21" ht="23.25" hidden="1" x14ac:dyDescent="0.25">
      <c r="A193" s="47" t="s">
        <v>37</v>
      </c>
      <c r="B193" s="83"/>
      <c r="C193" s="39"/>
      <c r="D193" s="22"/>
      <c r="E193" s="22"/>
      <c r="F193" s="39"/>
      <c r="G193" s="39"/>
      <c r="H193" s="39"/>
      <c r="I193" s="39"/>
      <c r="J193" s="39"/>
      <c r="K193" s="39"/>
      <c r="L193" s="39"/>
      <c r="M193" s="39"/>
      <c r="N193" s="39"/>
      <c r="O193" s="39"/>
      <c r="P193" s="39"/>
      <c r="Q193" s="39"/>
      <c r="R193" s="39"/>
      <c r="S193" s="39"/>
      <c r="T193" s="39"/>
      <c r="U193" s="50"/>
    </row>
    <row r="194" spans="1:21" ht="23.25" hidden="1" x14ac:dyDescent="0.25">
      <c r="A194" s="47" t="s">
        <v>40</v>
      </c>
      <c r="B194" s="83"/>
      <c r="C194" s="39"/>
      <c r="D194" s="22"/>
      <c r="E194" s="22"/>
      <c r="F194" s="39"/>
      <c r="G194" s="39"/>
      <c r="H194" s="39"/>
      <c r="I194" s="39"/>
      <c r="J194" s="39"/>
      <c r="K194" s="39"/>
      <c r="L194" s="39"/>
      <c r="M194" s="39"/>
      <c r="N194" s="39"/>
      <c r="O194" s="39"/>
      <c r="P194" s="39"/>
      <c r="Q194" s="39"/>
      <c r="R194" s="39"/>
      <c r="S194" s="39"/>
      <c r="T194" s="39"/>
      <c r="U194" s="50"/>
    </row>
    <row r="195" spans="1:21" ht="23.25" hidden="1" x14ac:dyDescent="0.25">
      <c r="A195" s="51" t="s">
        <v>21</v>
      </c>
      <c r="B195" s="82"/>
      <c r="C195" s="39"/>
      <c r="D195" s="22"/>
      <c r="E195" s="22"/>
      <c r="F195" s="39"/>
      <c r="G195" s="39"/>
      <c r="H195" s="39"/>
      <c r="I195" s="39"/>
      <c r="J195" s="39"/>
      <c r="K195" s="39"/>
      <c r="L195" s="39"/>
      <c r="M195" s="39"/>
      <c r="N195" s="39"/>
      <c r="O195" s="39"/>
      <c r="P195" s="39"/>
      <c r="Q195" s="39"/>
      <c r="R195" s="39"/>
      <c r="S195" s="39"/>
      <c r="T195" s="39"/>
      <c r="U195" s="50"/>
    </row>
    <row r="196" spans="1:21" ht="23.25" hidden="1" x14ac:dyDescent="0.25">
      <c r="A196" s="47" t="s">
        <v>22</v>
      </c>
      <c r="B196" s="83"/>
      <c r="C196" s="39"/>
      <c r="D196" s="22"/>
      <c r="E196" s="22"/>
      <c r="F196" s="39"/>
      <c r="G196" s="39"/>
      <c r="H196" s="39"/>
      <c r="I196" s="39"/>
      <c r="J196" s="39"/>
      <c r="K196" s="39"/>
      <c r="L196" s="39"/>
      <c r="M196" s="39"/>
      <c r="N196" s="39"/>
      <c r="O196" s="39"/>
      <c r="P196" s="39"/>
      <c r="Q196" s="39"/>
      <c r="R196" s="39"/>
      <c r="S196" s="39"/>
      <c r="T196" s="39"/>
      <c r="U196" s="50"/>
    </row>
    <row r="197" spans="1:21" ht="23.25" hidden="1" x14ac:dyDescent="0.25">
      <c r="A197" s="47" t="s">
        <v>23</v>
      </c>
      <c r="B197" s="83"/>
      <c r="C197" s="39"/>
      <c r="D197" s="22"/>
      <c r="E197" s="22"/>
      <c r="F197" s="39"/>
      <c r="G197" s="39"/>
      <c r="H197" s="39"/>
      <c r="I197" s="39"/>
      <c r="J197" s="39"/>
      <c r="K197" s="39"/>
      <c r="L197" s="39"/>
      <c r="M197" s="39"/>
      <c r="N197" s="39"/>
      <c r="O197" s="39"/>
      <c r="P197" s="39"/>
      <c r="Q197" s="39"/>
      <c r="R197" s="39"/>
      <c r="S197" s="39"/>
      <c r="T197" s="39"/>
      <c r="U197" s="50"/>
    </row>
    <row r="198" spans="1:21" ht="23.25" hidden="1" x14ac:dyDescent="0.25">
      <c r="A198" s="51" t="s">
        <v>24</v>
      </c>
      <c r="B198" s="82"/>
      <c r="C198" s="39"/>
      <c r="D198" s="22"/>
      <c r="E198" s="22"/>
      <c r="F198" s="39"/>
      <c r="G198" s="39"/>
      <c r="H198" s="39"/>
      <c r="I198" s="39"/>
      <c r="J198" s="39"/>
      <c r="K198" s="39"/>
      <c r="L198" s="39"/>
      <c r="M198" s="39"/>
      <c r="N198" s="39"/>
      <c r="O198" s="39"/>
      <c r="P198" s="39"/>
      <c r="Q198" s="39"/>
      <c r="R198" s="39"/>
      <c r="S198" s="39"/>
      <c r="T198" s="39"/>
      <c r="U198" s="50"/>
    </row>
    <row r="199" spans="1:21" ht="23.25" hidden="1" x14ac:dyDescent="0.25">
      <c r="A199" s="47" t="s">
        <v>38</v>
      </c>
      <c r="B199" s="83"/>
      <c r="C199" s="39"/>
      <c r="D199" s="22"/>
      <c r="E199" s="22"/>
      <c r="F199" s="39"/>
      <c r="G199" s="39"/>
      <c r="H199" s="39"/>
      <c r="I199" s="39"/>
      <c r="J199" s="39"/>
      <c r="K199" s="39"/>
      <c r="L199" s="39"/>
      <c r="M199" s="39"/>
      <c r="N199" s="39"/>
      <c r="O199" s="39"/>
      <c r="P199" s="39"/>
      <c r="Q199" s="39"/>
      <c r="R199" s="39"/>
      <c r="S199" s="39"/>
      <c r="T199" s="39"/>
      <c r="U199" s="50"/>
    </row>
    <row r="200" spans="1:21" ht="24" hidden="1" thickBot="1" x14ac:dyDescent="0.3">
      <c r="A200" s="53"/>
      <c r="B200" s="23"/>
      <c r="C200" s="40"/>
      <c r="D200" s="23"/>
      <c r="E200" s="23"/>
      <c r="F200" s="40"/>
      <c r="G200" s="40"/>
      <c r="H200" s="40"/>
      <c r="I200" s="40"/>
      <c r="J200" s="40"/>
      <c r="K200" s="40"/>
      <c r="L200" s="40"/>
      <c r="M200" s="40"/>
      <c r="N200" s="40"/>
      <c r="O200" s="40"/>
      <c r="P200" s="40"/>
      <c r="Q200" s="40"/>
      <c r="R200" s="40"/>
      <c r="S200" s="40"/>
      <c r="T200" s="40"/>
      <c r="U200" s="54"/>
    </row>
    <row r="201" spans="1:21" ht="24.75" hidden="1" customHeight="1" thickBot="1" x14ac:dyDescent="0.3">
      <c r="A201" s="69"/>
      <c r="B201" s="69"/>
      <c r="C201" s="70"/>
      <c r="D201" s="69"/>
      <c r="E201" s="69"/>
      <c r="F201" s="70"/>
      <c r="G201" s="70"/>
      <c r="H201" s="70"/>
      <c r="I201" s="70"/>
      <c r="J201" s="70"/>
      <c r="K201" s="70"/>
      <c r="L201" s="70"/>
      <c r="M201" s="70"/>
      <c r="N201" s="70"/>
      <c r="O201" s="70"/>
      <c r="P201" s="70"/>
      <c r="Q201" s="70"/>
      <c r="R201" s="70"/>
      <c r="S201" s="70"/>
      <c r="T201" s="70"/>
      <c r="U201" s="69"/>
    </row>
    <row r="202" spans="1:21" ht="117" hidden="1" customHeight="1" thickBot="1" x14ac:dyDescent="0.3">
      <c r="A202" s="71" t="s">
        <v>45</v>
      </c>
      <c r="B202" s="85"/>
      <c r="C202" s="70"/>
      <c r="D202" s="69"/>
      <c r="E202" s="69"/>
      <c r="F202" s="70"/>
      <c r="G202" s="70"/>
      <c r="H202" s="70"/>
      <c r="I202" s="70"/>
      <c r="J202" s="70"/>
      <c r="K202" s="70"/>
      <c r="L202" s="70"/>
      <c r="M202" s="70"/>
      <c r="N202" s="70"/>
      <c r="O202" s="70"/>
      <c r="P202" s="70"/>
      <c r="Q202" s="70"/>
      <c r="R202" s="70"/>
      <c r="S202" s="70"/>
      <c r="T202" s="70"/>
      <c r="U202" s="69"/>
    </row>
    <row r="203" spans="1:21" ht="23.25" hidden="1" x14ac:dyDescent="0.25">
      <c r="A203" s="8"/>
      <c r="B203" s="8"/>
      <c r="C203" s="6"/>
      <c r="D203" s="8"/>
      <c r="E203" s="8"/>
      <c r="F203" s="6"/>
      <c r="G203" s="6"/>
      <c r="H203" s="6"/>
      <c r="I203" s="6"/>
      <c r="J203" s="6"/>
      <c r="K203" s="6"/>
      <c r="L203" s="6"/>
      <c r="M203" s="6"/>
      <c r="N203" s="67"/>
      <c r="O203" s="67"/>
      <c r="P203" s="6"/>
      <c r="Q203" s="6"/>
      <c r="R203" s="6"/>
      <c r="S203" s="6"/>
      <c r="T203" s="6"/>
      <c r="U203" s="8"/>
    </row>
    <row r="204" spans="1:21" ht="23.25" hidden="1" x14ac:dyDescent="0.25">
      <c r="A204" s="34" t="s">
        <v>44</v>
      </c>
      <c r="B204" s="80"/>
      <c r="C204" s="35"/>
      <c r="D204" s="36"/>
      <c r="E204" s="36"/>
      <c r="F204" s="35"/>
      <c r="G204" s="35"/>
      <c r="H204" s="35"/>
      <c r="I204" s="35"/>
      <c r="J204" s="35"/>
      <c r="K204" s="35"/>
      <c r="L204" s="35"/>
      <c r="M204" s="35"/>
      <c r="N204" s="35"/>
      <c r="O204" s="35"/>
      <c r="P204" s="35"/>
      <c r="Q204" s="35"/>
      <c r="R204" s="35"/>
      <c r="S204" s="35"/>
      <c r="T204" s="35"/>
      <c r="U204" s="37"/>
    </row>
    <row r="205" spans="1:21" ht="77.25" hidden="1" customHeight="1" thickBot="1" x14ac:dyDescent="0.3">
      <c r="A205" s="263"/>
      <c r="B205" s="264"/>
      <c r="C205" s="264"/>
      <c r="D205" s="264"/>
      <c r="E205" s="264"/>
      <c r="F205" s="264"/>
      <c r="G205" s="264"/>
      <c r="H205" s="264"/>
      <c r="I205" s="264"/>
      <c r="J205" s="264"/>
      <c r="K205" s="264"/>
      <c r="L205" s="264"/>
      <c r="M205" s="264"/>
      <c r="N205" s="264"/>
      <c r="O205" s="264"/>
      <c r="P205" s="264"/>
      <c r="Q205" s="264"/>
      <c r="R205" s="264"/>
      <c r="S205" s="264"/>
      <c r="T205" s="264"/>
      <c r="U205" s="265"/>
    </row>
    <row r="206" spans="1:21" hidden="1" x14ac:dyDescent="0.25"/>
    <row r="207" spans="1:21" ht="28.5" hidden="1" customHeight="1" x14ac:dyDescent="0.25">
      <c r="A207" s="34" t="s">
        <v>234</v>
      </c>
      <c r="B207" s="80"/>
      <c r="C207" s="35"/>
      <c r="D207" s="36"/>
      <c r="E207" s="36"/>
      <c r="F207" s="35"/>
      <c r="G207" s="35"/>
      <c r="H207" s="35"/>
      <c r="I207" s="35"/>
      <c r="J207" s="35"/>
      <c r="K207" s="35"/>
      <c r="L207" s="35"/>
      <c r="M207" s="35"/>
      <c r="N207" s="35"/>
      <c r="O207" s="35"/>
      <c r="P207" s="35"/>
      <c r="Q207" s="35"/>
      <c r="R207" s="35"/>
      <c r="S207" s="35"/>
      <c r="T207" s="35"/>
      <c r="U207" s="37"/>
    </row>
    <row r="208" spans="1:21" ht="225.75" hidden="1" customHeight="1" thickBot="1" x14ac:dyDescent="0.3">
      <c r="A208" s="263"/>
      <c r="B208" s="264"/>
      <c r="C208" s="264"/>
      <c r="D208" s="264"/>
      <c r="E208" s="264"/>
      <c r="F208" s="264"/>
      <c r="G208" s="264"/>
      <c r="H208" s="264"/>
      <c r="I208" s="264"/>
      <c r="J208" s="264"/>
      <c r="K208" s="264"/>
      <c r="L208" s="264"/>
      <c r="M208" s="264"/>
      <c r="N208" s="264"/>
      <c r="O208" s="264"/>
      <c r="P208" s="264"/>
      <c r="Q208" s="264"/>
      <c r="R208" s="264"/>
      <c r="S208" s="264"/>
      <c r="T208" s="264"/>
      <c r="U208" s="265"/>
    </row>
    <row r="209" spans="1:21" hidden="1" x14ac:dyDescent="0.25"/>
    <row r="210" spans="1:21" ht="23.25" hidden="1" x14ac:dyDescent="0.25">
      <c r="A210" s="34" t="s">
        <v>235</v>
      </c>
      <c r="B210" s="80"/>
      <c r="C210" s="35"/>
      <c r="D210" s="36"/>
      <c r="E210" s="36"/>
      <c r="F210" s="35"/>
      <c r="G210" s="35"/>
      <c r="H210" s="35"/>
      <c r="I210" s="35"/>
      <c r="J210" s="35"/>
      <c r="K210" s="35"/>
      <c r="L210" s="35"/>
      <c r="M210" s="35"/>
      <c r="N210" s="35"/>
      <c r="O210" s="35"/>
      <c r="P210" s="35"/>
      <c r="Q210" s="35"/>
      <c r="R210" s="35"/>
      <c r="S210" s="35"/>
      <c r="T210" s="35"/>
      <c r="U210" s="37"/>
    </row>
    <row r="211" spans="1:21" hidden="1" x14ac:dyDescent="0.25">
      <c r="A211" s="57">
        <v>1</v>
      </c>
      <c r="B211" s="86"/>
      <c r="C211" s="58"/>
      <c r="D211" s="24"/>
      <c r="E211" s="24"/>
      <c r="F211" s="25"/>
      <c r="G211" s="25"/>
      <c r="H211" s="10"/>
      <c r="I211" s="10"/>
      <c r="J211" s="10"/>
      <c r="K211" s="10"/>
      <c r="L211" s="10"/>
      <c r="M211" s="10"/>
      <c r="N211" s="76"/>
      <c r="O211" s="76"/>
      <c r="P211" s="10"/>
      <c r="Q211" s="10"/>
      <c r="R211" s="10"/>
      <c r="S211" s="10"/>
      <c r="T211" s="10"/>
      <c r="U211" s="16"/>
    </row>
    <row r="212" spans="1:21" hidden="1" x14ac:dyDescent="0.25">
      <c r="A212" s="29">
        <v>2</v>
      </c>
      <c r="B212" s="27"/>
      <c r="C212" s="28"/>
      <c r="U212" s="17"/>
    </row>
    <row r="213" spans="1:21" hidden="1" x14ac:dyDescent="0.25">
      <c r="A213" s="29">
        <v>3</v>
      </c>
      <c r="B213" s="27"/>
      <c r="C213" s="28"/>
      <c r="U213" s="17"/>
    </row>
    <row r="214" spans="1:21" hidden="1" x14ac:dyDescent="0.25">
      <c r="A214" s="29"/>
      <c r="B214" s="27"/>
      <c r="C214" s="28"/>
      <c r="U214" s="17"/>
    </row>
    <row r="215" spans="1:21" hidden="1" x14ac:dyDescent="0.25">
      <c r="A215" s="29"/>
      <c r="B215" s="27"/>
      <c r="C215" s="28"/>
      <c r="U215" s="17"/>
    </row>
    <row r="216" spans="1:21" ht="19.5" hidden="1" thickBot="1" x14ac:dyDescent="0.3">
      <c r="A216" s="30"/>
      <c r="B216" s="31"/>
      <c r="C216" s="32"/>
      <c r="D216" s="26"/>
      <c r="E216" s="26"/>
      <c r="F216" s="18"/>
      <c r="G216" s="18"/>
      <c r="H216" s="11"/>
      <c r="I216" s="11"/>
      <c r="J216" s="11"/>
      <c r="K216" s="11"/>
      <c r="L216" s="11"/>
      <c r="M216" s="11"/>
      <c r="N216" s="77"/>
      <c r="O216" s="77"/>
      <c r="P216" s="11"/>
      <c r="Q216" s="11"/>
      <c r="R216" s="11"/>
      <c r="S216" s="11"/>
      <c r="T216" s="11"/>
      <c r="U216" s="19"/>
    </row>
    <row r="217" spans="1:21" hidden="1" x14ac:dyDescent="0.25"/>
    <row r="218" spans="1:21" ht="23.25" hidden="1" x14ac:dyDescent="0.25">
      <c r="A218" s="34" t="s">
        <v>43</v>
      </c>
      <c r="B218" s="80"/>
      <c r="C218" s="35"/>
      <c r="D218" s="36"/>
      <c r="E218" s="36"/>
      <c r="F218" s="35"/>
      <c r="G218" s="35"/>
      <c r="H218" s="35"/>
      <c r="I218" s="35"/>
      <c r="J218" s="35"/>
      <c r="K218" s="35"/>
      <c r="L218" s="35"/>
      <c r="M218" s="35"/>
      <c r="N218" s="35"/>
      <c r="O218" s="35"/>
      <c r="P218" s="35"/>
      <c r="Q218" s="35"/>
      <c r="R218" s="35"/>
      <c r="S218" s="35"/>
      <c r="T218" s="35"/>
      <c r="U218" s="37"/>
    </row>
    <row r="219" spans="1:21" ht="104.25" hidden="1" customHeight="1" thickBot="1" x14ac:dyDescent="0.3">
      <c r="A219" s="59"/>
      <c r="B219" s="60"/>
      <c r="C219" s="61" t="s">
        <v>9</v>
      </c>
      <c r="D219" s="62"/>
      <c r="E219" s="61" t="s">
        <v>8</v>
      </c>
      <c r="F219" s="63"/>
      <c r="G219" s="63"/>
      <c r="H219" s="64" t="s">
        <v>7</v>
      </c>
      <c r="I219" s="65"/>
      <c r="J219" s="65"/>
      <c r="K219" s="65"/>
      <c r="L219" s="65"/>
      <c r="M219" s="65"/>
      <c r="N219" s="78"/>
      <c r="O219" s="78"/>
      <c r="P219" s="65"/>
      <c r="Q219" s="65"/>
      <c r="R219" s="65"/>
      <c r="S219" s="65"/>
      <c r="T219" s="65"/>
      <c r="U219" s="66"/>
    </row>
    <row r="220" spans="1:21" hidden="1" x14ac:dyDescent="0.25"/>
  </sheetData>
  <mergeCells count="88">
    <mergeCell ref="A145:M145"/>
    <mergeCell ref="A146:M146"/>
    <mergeCell ref="N147:R147"/>
    <mergeCell ref="A10:H10"/>
    <mergeCell ref="A3:H3"/>
    <mergeCell ref="A12:H12"/>
    <mergeCell ref="A5:H5"/>
    <mergeCell ref="A6:H6"/>
    <mergeCell ref="A7:H7"/>
    <mergeCell ref="A9:H9"/>
    <mergeCell ref="A8:H8"/>
    <mergeCell ref="A128:J128"/>
    <mergeCell ref="A133:N133"/>
    <mergeCell ref="A139:U139"/>
    <mergeCell ref="A130:U130"/>
    <mergeCell ref="A131:U131"/>
    <mergeCell ref="N146:R146"/>
    <mergeCell ref="N157:R157"/>
    <mergeCell ref="A151:M151"/>
    <mergeCell ref="A152:M152"/>
    <mergeCell ref="A157:M157"/>
    <mergeCell ref="A156:M156"/>
    <mergeCell ref="N149:R149"/>
    <mergeCell ref="N150:R150"/>
    <mergeCell ref="N151:R151"/>
    <mergeCell ref="N153:R153"/>
    <mergeCell ref="N154:R154"/>
    <mergeCell ref="N155:R155"/>
    <mergeCell ref="A154:M154"/>
    <mergeCell ref="A155:M155"/>
    <mergeCell ref="A153:M153"/>
    <mergeCell ref="A147:M147"/>
    <mergeCell ref="A122:J122"/>
    <mergeCell ref="A127:J127"/>
    <mergeCell ref="A125:J125"/>
    <mergeCell ref="A126:J126"/>
    <mergeCell ref="N141:R141"/>
    <mergeCell ref="A134:N134"/>
    <mergeCell ref="A135:N135"/>
    <mergeCell ref="A136:N136"/>
    <mergeCell ref="A137:N137"/>
    <mergeCell ref="A138:N138"/>
    <mergeCell ref="A141:M141"/>
    <mergeCell ref="A208:U208"/>
    <mergeCell ref="A160:U160"/>
    <mergeCell ref="A205:U205"/>
    <mergeCell ref="A164:U164"/>
    <mergeCell ref="A165:U165"/>
    <mergeCell ref="A166:U166"/>
    <mergeCell ref="A168:U168"/>
    <mergeCell ref="A167:U167"/>
    <mergeCell ref="A169:U169"/>
    <mergeCell ref="A170:U170"/>
    <mergeCell ref="A162:U162"/>
    <mergeCell ref="A163:U163"/>
    <mergeCell ref="A172:U172"/>
    <mergeCell ref="A173:U173"/>
    <mergeCell ref="A171:U171"/>
    <mergeCell ref="A149:M149"/>
    <mergeCell ref="A148:M148"/>
    <mergeCell ref="A150:M150"/>
    <mergeCell ref="N156:R156"/>
    <mergeCell ref="N152:R152"/>
    <mergeCell ref="N148:R148"/>
    <mergeCell ref="Y124:Z124"/>
    <mergeCell ref="A142:M142"/>
    <mergeCell ref="A143:M143"/>
    <mergeCell ref="A144:M144"/>
    <mergeCell ref="A140:M140"/>
    <mergeCell ref="N142:R142"/>
    <mergeCell ref="N143:R143"/>
    <mergeCell ref="N144:R144"/>
    <mergeCell ref="X1:AC1"/>
    <mergeCell ref="N145:R145"/>
    <mergeCell ref="S1:U1"/>
    <mergeCell ref="G1:J1"/>
    <mergeCell ref="A1:C1"/>
    <mergeCell ref="Y126:Z126"/>
    <mergeCell ref="Y127:Z127"/>
    <mergeCell ref="A18:U18"/>
    <mergeCell ref="A19:H19"/>
    <mergeCell ref="A14:U14"/>
    <mergeCell ref="A16:U16"/>
    <mergeCell ref="A124:J124"/>
    <mergeCell ref="A123:J123"/>
    <mergeCell ref="Y125:Z125"/>
    <mergeCell ref="Y122:Z122"/>
    <mergeCell ref="Y123:Z123"/>
  </mergeCells>
  <conditionalFormatting sqref="S79:T84 S86:T86 S92:T92 S94:T121 S22:T70">
    <cfRule type="notContainsBlanks" dxfId="59" priority="21">
      <formula>LEN(TRIM(S22))&gt;0</formula>
    </cfRule>
  </conditionalFormatting>
  <conditionalFormatting sqref="S76:T78">
    <cfRule type="notContainsBlanks" dxfId="58" priority="19">
      <formula>LEN(TRIM(S76))&gt;0</formula>
    </cfRule>
  </conditionalFormatting>
  <conditionalFormatting sqref="S85:T85">
    <cfRule type="notContainsBlanks" dxfId="57" priority="18">
      <formula>LEN(TRIM(S85))&gt;0</formula>
    </cfRule>
  </conditionalFormatting>
  <conditionalFormatting sqref="S87:T87">
    <cfRule type="notContainsBlanks" dxfId="56" priority="17">
      <formula>LEN(TRIM(S87))&gt;0</formula>
    </cfRule>
  </conditionalFormatting>
  <conditionalFormatting sqref="S88:T88">
    <cfRule type="notContainsBlanks" dxfId="55" priority="16">
      <formula>LEN(TRIM(S88))&gt;0</formula>
    </cfRule>
  </conditionalFormatting>
  <conditionalFormatting sqref="S89:T89">
    <cfRule type="notContainsBlanks" dxfId="54" priority="15">
      <formula>LEN(TRIM(S89))&gt;0</formula>
    </cfRule>
  </conditionalFormatting>
  <conditionalFormatting sqref="S90:T90">
    <cfRule type="notContainsBlanks" dxfId="53" priority="14">
      <formula>LEN(TRIM(S90))&gt;0</formula>
    </cfRule>
  </conditionalFormatting>
  <conditionalFormatting sqref="S91:T91">
    <cfRule type="notContainsBlanks" dxfId="52" priority="13">
      <formula>LEN(TRIM(S91))&gt;0</formula>
    </cfRule>
  </conditionalFormatting>
  <conditionalFormatting sqref="S93:T93">
    <cfRule type="notContainsBlanks" dxfId="51" priority="12">
      <formula>LEN(TRIM(S93))&gt;0</formula>
    </cfRule>
  </conditionalFormatting>
  <conditionalFormatting sqref="S76:T121 S22:T70">
    <cfRule type="notContainsBlanks" dxfId="50" priority="11">
      <formula>LEN(TRIM(S22))&gt;0</formula>
    </cfRule>
  </conditionalFormatting>
  <conditionalFormatting sqref="S71:T71">
    <cfRule type="notContainsBlanks" dxfId="49" priority="10">
      <formula>LEN(TRIM(S71))&gt;0</formula>
    </cfRule>
  </conditionalFormatting>
  <conditionalFormatting sqref="S71:T71">
    <cfRule type="notContainsBlanks" dxfId="48" priority="9">
      <formula>LEN(TRIM(S71))&gt;0</formula>
    </cfRule>
  </conditionalFormatting>
  <conditionalFormatting sqref="S72:T72">
    <cfRule type="notContainsBlanks" dxfId="47" priority="8">
      <formula>LEN(TRIM(S72))&gt;0</formula>
    </cfRule>
  </conditionalFormatting>
  <conditionalFormatting sqref="S72:T72">
    <cfRule type="notContainsBlanks" dxfId="46" priority="7">
      <formula>LEN(TRIM(S72))&gt;0</formula>
    </cfRule>
  </conditionalFormatting>
  <conditionalFormatting sqref="S73:T73">
    <cfRule type="notContainsBlanks" dxfId="45" priority="6">
      <formula>LEN(TRIM(S73))&gt;0</formula>
    </cfRule>
  </conditionalFormatting>
  <conditionalFormatting sqref="S73:T73">
    <cfRule type="notContainsBlanks" dxfId="44" priority="5">
      <formula>LEN(TRIM(S73))&gt;0</formula>
    </cfRule>
  </conditionalFormatting>
  <conditionalFormatting sqref="S74:T74">
    <cfRule type="notContainsBlanks" dxfId="43" priority="4">
      <formula>LEN(TRIM(S74))&gt;0</formula>
    </cfRule>
  </conditionalFormatting>
  <conditionalFormatting sqref="S74:T74">
    <cfRule type="notContainsBlanks" dxfId="42" priority="3">
      <formula>LEN(TRIM(S74))&gt;0</formula>
    </cfRule>
  </conditionalFormatting>
  <conditionalFormatting sqref="S75:T75">
    <cfRule type="notContainsBlanks" dxfId="41" priority="2">
      <formula>LEN(TRIM(S75))&gt;0</formula>
    </cfRule>
  </conditionalFormatting>
  <conditionalFormatting sqref="S75:T75">
    <cfRule type="notContainsBlanks" dxfId="40" priority="1">
      <formula>LEN(TRIM(S75))&gt;0</formula>
    </cfRule>
  </conditionalFormatting>
  <dataValidations count="2">
    <dataValidation type="list" allowBlank="1" showInputMessage="1" showErrorMessage="1" sqref="I22:I121" xr:uid="{00000000-0002-0000-0000-000000000000}">
      <formula1>$AU$2:$AU$10</formula1>
    </dataValidation>
    <dataValidation type="list" allowBlank="1" showInputMessage="1" showErrorMessage="1" sqref="H39:H121 H30:H31 H23 H28 H36" xr:uid="{9989BFD3-1041-4471-BBB0-A927E81AB63C}">
      <formula1>$AT$2:$AT$6</formula1>
    </dataValidation>
  </dataValidations>
  <printOptions horizontalCentered="1"/>
  <pageMargins left="0.11811023622047245" right="0.19685039370078741" top="0.43307086614173229" bottom="0.78740157480314965" header="0.19685039370078741" footer="0.31496062992125984"/>
  <pageSetup paperSize="9" scale="17" fitToHeight="0" orientation="landscape" r:id="rId1"/>
  <headerFooter>
    <oddFooter>&amp;L&amp;G&amp;C&amp;G&amp;R&amp;G</oddFooter>
  </headerFooter>
  <rowBreaks count="1" manualBreakCount="1">
    <brk id="139"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39" r:id="rId5" name="Button 15">
              <controlPr defaultSize="0" print="0" autoFill="0" autoPict="0" macro="[0]!SWITCHTOSINGLEITEMQUOTE">
                <anchor moveWithCells="1" sizeWithCells="1">
                  <from>
                    <xdr:col>23</xdr:col>
                    <xdr:colOff>57150</xdr:colOff>
                    <xdr:row>0</xdr:row>
                    <xdr:rowOff>781050</xdr:rowOff>
                  </from>
                  <to>
                    <xdr:col>23</xdr:col>
                    <xdr:colOff>2676525</xdr:colOff>
                    <xdr:row>1</xdr:row>
                    <xdr:rowOff>38100</xdr:rowOff>
                  </to>
                </anchor>
              </controlPr>
            </control>
          </mc:Choice>
        </mc:AlternateContent>
        <mc:AlternateContent xmlns:mc="http://schemas.openxmlformats.org/markup-compatibility/2006">
          <mc:Choice Requires="x14">
            <control shapeId="1040" r:id="rId6" name="Button 16">
              <controlPr defaultSize="0" print="0" autoFill="0" autoPict="0" macro="[0]!SWITCHTO5ITEMQUOTE">
                <anchor moveWithCells="1" sizeWithCells="1">
                  <from>
                    <xdr:col>23</xdr:col>
                    <xdr:colOff>95250</xdr:colOff>
                    <xdr:row>2</xdr:row>
                    <xdr:rowOff>114300</xdr:rowOff>
                  </from>
                  <to>
                    <xdr:col>23</xdr:col>
                    <xdr:colOff>2705100</xdr:colOff>
                    <xdr:row>4</xdr:row>
                    <xdr:rowOff>66675</xdr:rowOff>
                  </to>
                </anchor>
              </controlPr>
            </control>
          </mc:Choice>
        </mc:AlternateContent>
        <mc:AlternateContent xmlns:mc="http://schemas.openxmlformats.org/markup-compatibility/2006">
          <mc:Choice Requires="x14">
            <control shapeId="1041" r:id="rId7" name="Button 17">
              <controlPr defaultSize="0" print="0" autoFill="0" autoPict="0" macro="[0]!COPYTOSUPPLIERSCHEDULE">
                <anchor moveWithCells="1" sizeWithCells="1">
                  <from>
                    <xdr:col>25</xdr:col>
                    <xdr:colOff>180975</xdr:colOff>
                    <xdr:row>0</xdr:row>
                    <xdr:rowOff>781050</xdr:rowOff>
                  </from>
                  <to>
                    <xdr:col>26</xdr:col>
                    <xdr:colOff>85725</xdr:colOff>
                    <xdr:row>1</xdr:row>
                    <xdr:rowOff>38100</xdr:rowOff>
                  </to>
                </anchor>
              </controlPr>
            </control>
          </mc:Choice>
        </mc:AlternateContent>
        <mc:AlternateContent xmlns:mc="http://schemas.openxmlformats.org/markup-compatibility/2006">
          <mc:Choice Requires="x14">
            <control shapeId="1042" r:id="rId8" name="Button 18">
              <controlPr defaultSize="0" print="0" autoFill="0" autoPict="0" macro="[0]!SWITCHTO10ITEMQUOTE">
                <anchor moveWithCells="1" sizeWithCells="1">
                  <from>
                    <xdr:col>23</xdr:col>
                    <xdr:colOff>123825</xdr:colOff>
                    <xdr:row>5</xdr:row>
                    <xdr:rowOff>171450</xdr:rowOff>
                  </from>
                  <to>
                    <xdr:col>24</xdr:col>
                    <xdr:colOff>0</xdr:colOff>
                    <xdr:row>7</xdr:row>
                    <xdr:rowOff>333375</xdr:rowOff>
                  </to>
                </anchor>
              </controlPr>
            </control>
          </mc:Choice>
        </mc:AlternateContent>
        <mc:AlternateContent xmlns:mc="http://schemas.openxmlformats.org/markup-compatibility/2006">
          <mc:Choice Requires="x14">
            <control shapeId="1043" r:id="rId9" name="Button 19">
              <controlPr defaultSize="0" print="0" autoFill="0" autoPict="0" macro="[0]!HIDEOC">
                <anchor moveWithCells="1" sizeWithCells="1">
                  <from>
                    <xdr:col>27</xdr:col>
                    <xdr:colOff>133350</xdr:colOff>
                    <xdr:row>0</xdr:row>
                    <xdr:rowOff>762000</xdr:rowOff>
                  </from>
                  <to>
                    <xdr:col>27</xdr:col>
                    <xdr:colOff>2324100</xdr:colOff>
                    <xdr:row>1</xdr:row>
                    <xdr:rowOff>28575</xdr:rowOff>
                  </to>
                </anchor>
              </controlPr>
            </control>
          </mc:Choice>
        </mc:AlternateContent>
        <mc:AlternateContent xmlns:mc="http://schemas.openxmlformats.org/markup-compatibility/2006">
          <mc:Choice Requires="x14">
            <control shapeId="1044" r:id="rId10" name="Button 20">
              <controlPr defaultSize="0" print="0" autoFill="0" autoPict="0" macro="[0]!UNHIDEOC">
                <anchor moveWithCells="1" sizeWithCells="1">
                  <from>
                    <xdr:col>27</xdr:col>
                    <xdr:colOff>171450</xdr:colOff>
                    <xdr:row>2</xdr:row>
                    <xdr:rowOff>85725</xdr:rowOff>
                  </from>
                  <to>
                    <xdr:col>27</xdr:col>
                    <xdr:colOff>2324100</xdr:colOff>
                    <xdr:row>4</xdr:row>
                    <xdr:rowOff>85725</xdr:rowOff>
                  </to>
                </anchor>
              </controlPr>
            </control>
          </mc:Choice>
        </mc:AlternateContent>
        <mc:AlternateContent xmlns:mc="http://schemas.openxmlformats.org/markup-compatibility/2006">
          <mc:Choice Requires="x14">
            <control shapeId="1045" r:id="rId11" name="Button 21">
              <controlPr defaultSize="0" print="0" autoFill="0" autoPict="0" macro="[0]!COPYTOOC">
                <anchor moveWithCells="1" sizeWithCells="1">
                  <from>
                    <xdr:col>27</xdr:col>
                    <xdr:colOff>219075</xdr:colOff>
                    <xdr:row>5</xdr:row>
                    <xdr:rowOff>171450</xdr:rowOff>
                  </from>
                  <to>
                    <xdr:col>27</xdr:col>
                    <xdr:colOff>2324100</xdr:colOff>
                    <xdr:row>7</xdr:row>
                    <xdr:rowOff>333375</xdr:rowOff>
                  </to>
                </anchor>
              </controlPr>
            </control>
          </mc:Choice>
        </mc:AlternateContent>
        <mc:AlternateContent xmlns:mc="http://schemas.openxmlformats.org/markup-compatibility/2006">
          <mc:Choice Requires="x14">
            <control shapeId="1046" r:id="rId12" name="Button 22">
              <controlPr defaultSize="0" print="0" autoFill="0" autoPict="0" macro="[0]!SWITCHTO20ITEMQUOTE">
                <anchor moveWithCells="1" sizeWithCells="1">
                  <from>
                    <xdr:col>23</xdr:col>
                    <xdr:colOff>180975</xdr:colOff>
                    <xdr:row>12</xdr:row>
                    <xdr:rowOff>114300</xdr:rowOff>
                  </from>
                  <to>
                    <xdr:col>24</xdr:col>
                    <xdr:colOff>38100</xdr:colOff>
                    <xdr:row>15</xdr:row>
                    <xdr:rowOff>95250</xdr:rowOff>
                  </to>
                </anchor>
              </controlPr>
            </control>
          </mc:Choice>
        </mc:AlternateContent>
        <mc:AlternateContent xmlns:mc="http://schemas.openxmlformats.org/markup-compatibility/2006">
          <mc:Choice Requires="x14">
            <control shapeId="1047" r:id="rId13" name="Button 23">
              <controlPr defaultSize="0" print="0" autoFill="0" autoPict="0" macro="[0]!Hidesuppsched">
                <anchor moveWithCells="1" sizeWithCells="1">
                  <from>
                    <xdr:col>25</xdr:col>
                    <xdr:colOff>228600</xdr:colOff>
                    <xdr:row>2</xdr:row>
                    <xdr:rowOff>152400</xdr:rowOff>
                  </from>
                  <to>
                    <xdr:col>26</xdr:col>
                    <xdr:colOff>133350</xdr:colOff>
                    <xdr:row>4</xdr:row>
                    <xdr:rowOff>180975</xdr:rowOff>
                  </to>
                </anchor>
              </controlPr>
            </control>
          </mc:Choice>
        </mc:AlternateContent>
        <mc:AlternateContent xmlns:mc="http://schemas.openxmlformats.org/markup-compatibility/2006">
          <mc:Choice Requires="x14">
            <control shapeId="1048" r:id="rId14" name="Button 24">
              <controlPr defaultSize="0" print="0" autoFill="0" autoPict="0" macro="[0]!Unhidesupplierschedule">
                <anchor moveWithCells="1" sizeWithCells="1">
                  <from>
                    <xdr:col>25</xdr:col>
                    <xdr:colOff>276225</xdr:colOff>
                    <xdr:row>5</xdr:row>
                    <xdr:rowOff>190500</xdr:rowOff>
                  </from>
                  <to>
                    <xdr:col>26</xdr:col>
                    <xdr:colOff>171450</xdr:colOff>
                    <xdr:row>8</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D90"/>
  <sheetViews>
    <sheetView zoomScale="65" zoomScaleNormal="65" workbookViewId="0">
      <selection sqref="A1:AA81"/>
    </sheetView>
  </sheetViews>
  <sheetFormatPr defaultColWidth="9.140625" defaultRowHeight="18.75" x14ac:dyDescent="0.25"/>
  <cols>
    <col min="1" max="1" width="15.140625" style="3" customWidth="1"/>
    <col min="2" max="2" width="11.42578125" style="3" customWidth="1"/>
    <col min="3" max="6" width="15.140625" style="3" customWidth="1"/>
    <col min="7" max="7" width="35.42578125" style="2" customWidth="1"/>
    <col min="8" max="8" width="10" style="3" customWidth="1"/>
    <col min="9" max="9" width="15.85546875" style="3" customWidth="1"/>
    <col min="10" max="10" width="19.42578125" style="5" customWidth="1"/>
    <col min="11" max="11" width="20.42578125" style="5" customWidth="1"/>
    <col min="12" max="12" width="55" style="5" customWidth="1"/>
    <col min="13" max="13" width="12" style="2" customWidth="1"/>
    <col min="14" max="14" width="14.140625" style="2" customWidth="1"/>
    <col min="15" max="15" width="12" style="2" customWidth="1"/>
    <col min="16" max="18" width="15.42578125" style="2" customWidth="1"/>
    <col min="19" max="19" width="16.85546875" style="2" hidden="1" customWidth="1"/>
    <col min="20" max="21" width="15.5703125" style="2" hidden="1" customWidth="1"/>
    <col min="22" max="22" width="18.42578125" style="68" bestFit="1" customWidth="1"/>
    <col min="23" max="23" width="18.42578125" style="68" hidden="1" customWidth="1"/>
    <col min="24" max="24" width="21.42578125" style="2" customWidth="1"/>
    <col min="25" max="25" width="22" style="2" hidden="1" customWidth="1"/>
    <col min="26" max="26" width="20.5703125" style="2" customWidth="1"/>
    <col min="27" max="27" width="41.42578125" style="3" customWidth="1"/>
    <col min="28" max="16384" width="9.140625" style="1"/>
  </cols>
  <sheetData>
    <row r="1" spans="1:27" ht="130.35" customHeight="1" x14ac:dyDescent="0.25">
      <c r="A1" s="318"/>
      <c r="B1" s="319"/>
      <c r="C1" s="319"/>
      <c r="D1" s="319"/>
      <c r="E1" s="319"/>
      <c r="F1" s="319"/>
      <c r="G1" s="319"/>
      <c r="H1" s="319"/>
      <c r="I1" s="319"/>
      <c r="J1" s="319"/>
      <c r="K1" s="319"/>
      <c r="L1" s="319"/>
      <c r="M1" s="319"/>
      <c r="N1" s="319"/>
      <c r="O1" s="319"/>
      <c r="P1" s="319"/>
      <c r="Q1" s="319"/>
      <c r="R1" s="319"/>
      <c r="S1" s="319"/>
      <c r="T1" s="319"/>
      <c r="U1" s="319"/>
      <c r="V1" s="319"/>
      <c r="W1" s="319"/>
      <c r="X1" s="319"/>
      <c r="Y1" s="319"/>
      <c r="Z1" s="319"/>
      <c r="AA1" s="319"/>
    </row>
    <row r="2" spans="1:27" ht="26.25" x14ac:dyDescent="0.25">
      <c r="A2" s="320" t="s">
        <v>61</v>
      </c>
      <c r="B2" s="321"/>
      <c r="C2" s="321"/>
      <c r="D2" s="321"/>
      <c r="E2" s="321"/>
      <c r="F2" s="321"/>
      <c r="G2" s="321"/>
      <c r="H2" s="321"/>
      <c r="I2" s="321"/>
      <c r="J2" s="321"/>
      <c r="K2" s="321"/>
      <c r="L2" s="321"/>
      <c r="M2" s="321"/>
      <c r="N2" s="321"/>
      <c r="O2" s="321"/>
      <c r="P2" s="321"/>
      <c r="Q2" s="321"/>
      <c r="R2" s="321"/>
      <c r="S2" s="321"/>
      <c r="T2" s="321"/>
      <c r="U2" s="321"/>
      <c r="V2" s="321"/>
      <c r="W2" s="321"/>
      <c r="X2" s="321"/>
      <c r="Y2" s="321"/>
      <c r="Z2" s="321"/>
      <c r="AA2" s="321"/>
    </row>
    <row r="3" spans="1:27" ht="47.45" customHeight="1" x14ac:dyDescent="0.25">
      <c r="A3" s="322" t="s">
        <v>87</v>
      </c>
      <c r="B3" s="323"/>
      <c r="C3" s="323"/>
      <c r="D3" s="323"/>
      <c r="E3" s="323"/>
      <c r="F3" s="323"/>
      <c r="G3" s="323"/>
      <c r="H3" s="323"/>
      <c r="I3" s="323"/>
      <c r="J3" s="323"/>
      <c r="K3" s="323"/>
      <c r="L3" s="323"/>
      <c r="M3" s="323"/>
      <c r="N3" s="324"/>
      <c r="O3" s="324"/>
      <c r="P3" s="324"/>
      <c r="Q3" s="324"/>
      <c r="R3" s="324"/>
      <c r="S3" s="324"/>
      <c r="T3" s="324"/>
      <c r="U3" s="324"/>
      <c r="V3" s="324"/>
      <c r="W3" s="324"/>
      <c r="X3" s="324"/>
      <c r="Y3" s="324"/>
      <c r="Z3" s="324"/>
      <c r="AA3" s="324"/>
    </row>
    <row r="4" spans="1:27" ht="17.100000000000001" customHeight="1" x14ac:dyDescent="0.25">
      <c r="A4" s="44"/>
      <c r="B4" s="44"/>
      <c r="C4" s="44"/>
      <c r="D4" s="44"/>
      <c r="E4" s="44"/>
      <c r="F4" s="44"/>
      <c r="G4" s="44"/>
      <c r="H4" s="44"/>
      <c r="I4" s="44"/>
      <c r="J4" s="44"/>
      <c r="K4" s="44"/>
      <c r="L4" s="44"/>
      <c r="M4" s="44"/>
      <c r="N4" s="44"/>
      <c r="O4" s="44"/>
      <c r="P4" s="44"/>
      <c r="Q4" s="44"/>
      <c r="R4" s="44"/>
      <c r="S4" s="44"/>
      <c r="T4" s="44"/>
      <c r="U4" s="44"/>
      <c r="V4" s="72"/>
      <c r="W4" s="72"/>
      <c r="X4" s="44"/>
      <c r="Y4" s="44"/>
      <c r="Z4" s="44"/>
      <c r="AA4" s="44"/>
    </row>
    <row r="5" spans="1:27" ht="27.75" x14ac:dyDescent="0.25">
      <c r="A5" s="316" t="str">
        <f>+'QUOTE WORKING SHEET'!A5:H5</f>
        <v>Allan Wilsher - Polly</v>
      </c>
      <c r="B5" s="317"/>
      <c r="C5" s="317"/>
      <c r="D5" s="317"/>
      <c r="E5" s="317"/>
      <c r="F5" s="317"/>
      <c r="G5" s="317"/>
      <c r="H5" s="317"/>
      <c r="I5" s="317"/>
      <c r="J5" s="317"/>
      <c r="K5" s="317"/>
      <c r="L5" s="317"/>
      <c r="M5" s="317"/>
      <c r="N5" s="317"/>
      <c r="O5" s="317"/>
      <c r="P5" s="317"/>
      <c r="Q5" s="317"/>
      <c r="R5" s="317"/>
      <c r="S5" s="317"/>
      <c r="T5" s="317"/>
      <c r="U5" s="317"/>
      <c r="V5" s="317"/>
      <c r="W5" s="317"/>
      <c r="X5" s="317"/>
      <c r="Y5" s="317"/>
      <c r="Z5" s="317"/>
      <c r="AA5" s="317"/>
    </row>
    <row r="6" spans="1:27" ht="27.75" x14ac:dyDescent="0.25">
      <c r="A6" s="316" t="str">
        <f>+'QUOTE WORKING SHEET'!A6:H6</f>
        <v>Project: Richard and Sarah Monk</v>
      </c>
      <c r="B6" s="317"/>
      <c r="C6" s="317"/>
      <c r="D6" s="317"/>
      <c r="E6" s="317"/>
      <c r="F6" s="317"/>
      <c r="G6" s="317"/>
      <c r="H6" s="317"/>
      <c r="I6" s="317"/>
      <c r="J6" s="317"/>
      <c r="K6" s="317"/>
      <c r="L6" s="317"/>
      <c r="M6" s="317"/>
      <c r="N6" s="44"/>
      <c r="O6" s="44"/>
      <c r="P6" s="44"/>
      <c r="Q6" s="44"/>
      <c r="R6" s="44"/>
      <c r="S6" s="44"/>
      <c r="T6" s="44"/>
      <c r="U6" s="44"/>
      <c r="V6" s="72"/>
      <c r="W6" s="72"/>
      <c r="X6" s="44"/>
      <c r="Y6" s="44"/>
      <c r="Z6" s="44"/>
      <c r="AA6" s="44"/>
    </row>
    <row r="7" spans="1:27" ht="27.75" x14ac:dyDescent="0.25">
      <c r="A7" s="316" t="e">
        <f>+'QUOTE WORKING SHEET'!#REF!</f>
        <v>#REF!</v>
      </c>
      <c r="B7" s="317"/>
      <c r="C7" s="317"/>
      <c r="D7" s="317"/>
      <c r="E7" s="317"/>
      <c r="F7" s="317"/>
      <c r="G7" s="317"/>
      <c r="H7" s="317"/>
      <c r="I7" s="317"/>
      <c r="J7" s="317"/>
      <c r="K7" s="317"/>
      <c r="L7" s="317"/>
      <c r="M7" s="317"/>
      <c r="N7" s="44"/>
      <c r="O7" s="44"/>
      <c r="P7" s="44"/>
      <c r="Q7" s="44"/>
      <c r="R7" s="44"/>
      <c r="S7" s="44"/>
      <c r="T7" s="44"/>
      <c r="U7" s="44"/>
      <c r="V7" s="72"/>
      <c r="W7" s="72"/>
      <c r="X7" s="44"/>
      <c r="Y7" s="44"/>
      <c r="Z7" s="44"/>
      <c r="AA7" s="44"/>
    </row>
    <row r="8" spans="1:27" ht="27.75" x14ac:dyDescent="0.25">
      <c r="A8" s="316" t="str">
        <f>+'QUOTE WORKING SHEET'!A7:H7</f>
        <v>High View</v>
      </c>
      <c r="B8" s="317"/>
      <c r="C8" s="317"/>
      <c r="D8" s="317"/>
      <c r="E8" s="317"/>
      <c r="F8" s="317"/>
      <c r="G8" s="317"/>
      <c r="H8" s="317"/>
      <c r="I8" s="317"/>
      <c r="J8" s="317"/>
      <c r="K8" s="317"/>
      <c r="L8" s="317"/>
      <c r="M8" s="317"/>
      <c r="N8" s="44"/>
      <c r="O8" s="44"/>
      <c r="P8" s="44"/>
      <c r="Q8" s="44"/>
      <c r="R8" s="44"/>
      <c r="S8" s="44"/>
      <c r="T8" s="44"/>
      <c r="U8" s="44"/>
      <c r="V8" s="72"/>
      <c r="W8" s="72"/>
      <c r="X8" s="44"/>
      <c r="Y8" s="44"/>
      <c r="Z8" s="44"/>
      <c r="AA8" s="44"/>
    </row>
    <row r="9" spans="1:27" ht="27.75" x14ac:dyDescent="0.25">
      <c r="A9" s="316">
        <f>+'QUOTE WORKING SHEET'!A9:H9</f>
        <v>0</v>
      </c>
      <c r="B9" s="317"/>
      <c r="C9" s="317"/>
      <c r="D9" s="317"/>
      <c r="E9" s="317"/>
      <c r="F9" s="317"/>
      <c r="G9" s="317"/>
      <c r="H9" s="317"/>
      <c r="I9" s="317"/>
      <c r="J9" s="317"/>
      <c r="K9" s="317"/>
      <c r="L9" s="317"/>
      <c r="M9" s="317"/>
      <c r="N9" s="45"/>
      <c r="O9" s="45"/>
      <c r="P9" s="45"/>
      <c r="Q9" s="45"/>
      <c r="R9" s="45"/>
      <c r="S9" s="45"/>
      <c r="T9" s="45"/>
      <c r="U9" s="45"/>
      <c r="V9" s="73"/>
      <c r="W9" s="73"/>
      <c r="X9" s="45"/>
      <c r="Y9" s="45"/>
      <c r="Z9" s="45"/>
      <c r="AA9" s="46"/>
    </row>
    <row r="10" spans="1:27" ht="27.75" hidden="1" x14ac:dyDescent="0.45">
      <c r="A10" s="329" t="s">
        <v>10</v>
      </c>
      <c r="B10" s="237"/>
      <c r="C10" s="237"/>
      <c r="D10" s="237"/>
      <c r="E10" s="237"/>
      <c r="F10" s="237"/>
      <c r="G10" s="237"/>
      <c r="H10" s="237"/>
      <c r="I10" s="237"/>
      <c r="J10" s="237"/>
      <c r="K10" s="237"/>
      <c r="L10" s="237"/>
      <c r="M10" s="237"/>
      <c r="N10" s="237"/>
      <c r="O10" s="237"/>
      <c r="P10" s="237"/>
      <c r="Q10" s="237"/>
      <c r="R10" s="237"/>
      <c r="S10" s="237"/>
      <c r="T10" s="237"/>
      <c r="U10" s="237"/>
      <c r="V10" s="237"/>
      <c r="W10" s="237"/>
      <c r="X10" s="237"/>
      <c r="Y10" s="237"/>
      <c r="Z10" s="237"/>
      <c r="AA10" s="237"/>
    </row>
    <row r="11" spans="1:27" ht="27.75" hidden="1" x14ac:dyDescent="0.45">
      <c r="A11" s="56"/>
      <c r="B11" s="56"/>
      <c r="C11" s="56"/>
      <c r="D11" s="56"/>
      <c r="E11" s="56"/>
      <c r="F11" s="56"/>
      <c r="G11" s="45"/>
      <c r="H11" s="46"/>
      <c r="I11" s="46"/>
      <c r="J11" s="45"/>
      <c r="K11" s="45"/>
      <c r="L11" s="45"/>
      <c r="M11" s="45"/>
      <c r="N11" s="45"/>
      <c r="O11" s="45"/>
      <c r="P11" s="45"/>
      <c r="Q11" s="45"/>
      <c r="R11" s="45"/>
      <c r="S11" s="45"/>
      <c r="T11" s="45"/>
      <c r="U11" s="45"/>
      <c r="V11" s="73"/>
      <c r="W11" s="73"/>
      <c r="X11" s="45"/>
      <c r="Y11" s="45"/>
      <c r="Z11" s="45"/>
      <c r="AA11" s="46"/>
    </row>
    <row r="12" spans="1:27" ht="27.75" hidden="1" x14ac:dyDescent="0.45">
      <c r="A12" s="329" t="s">
        <v>41</v>
      </c>
      <c r="B12" s="237"/>
      <c r="C12" s="237"/>
      <c r="D12" s="237"/>
      <c r="E12" s="237"/>
      <c r="F12" s="237"/>
      <c r="G12" s="237"/>
      <c r="H12" s="237"/>
      <c r="I12" s="237"/>
      <c r="J12" s="237"/>
      <c r="K12" s="237"/>
      <c r="L12" s="237"/>
      <c r="M12" s="237"/>
      <c r="N12" s="237"/>
      <c r="O12" s="237"/>
      <c r="P12" s="237"/>
      <c r="Q12" s="237"/>
      <c r="R12" s="237"/>
      <c r="S12" s="237"/>
      <c r="T12" s="237"/>
      <c r="U12" s="237"/>
      <c r="V12" s="237"/>
      <c r="W12" s="237"/>
      <c r="X12" s="237"/>
      <c r="Y12" s="237"/>
      <c r="Z12" s="237"/>
      <c r="AA12" s="237"/>
    </row>
    <row r="13" spans="1:27" ht="28.5" x14ac:dyDescent="0.45">
      <c r="A13" s="41"/>
      <c r="B13" s="41"/>
      <c r="C13" s="41"/>
      <c r="D13" s="41"/>
      <c r="E13" s="41"/>
      <c r="F13" s="41"/>
      <c r="G13" s="42"/>
      <c r="H13" s="43"/>
      <c r="I13" s="43"/>
      <c r="J13" s="42"/>
      <c r="K13" s="42"/>
      <c r="L13" s="42"/>
      <c r="M13" s="42"/>
      <c r="N13" s="42"/>
      <c r="O13" s="42"/>
      <c r="P13" s="42"/>
      <c r="Q13" s="42"/>
      <c r="R13" s="42"/>
      <c r="S13" s="42"/>
      <c r="T13" s="42"/>
      <c r="U13" s="42"/>
      <c r="V13" s="74"/>
      <c r="W13" s="74"/>
      <c r="X13" s="42"/>
      <c r="Y13" s="42"/>
      <c r="Z13" s="42"/>
      <c r="AA13" s="43"/>
    </row>
    <row r="14" spans="1:27" ht="21" x14ac:dyDescent="0.35">
      <c r="A14" s="330" t="s">
        <v>0</v>
      </c>
      <c r="B14" s="330"/>
      <c r="C14" s="330"/>
      <c r="D14" s="330"/>
      <c r="E14" s="330"/>
      <c r="F14" s="330"/>
      <c r="G14" s="331"/>
      <c r="H14" s="331"/>
      <c r="I14" s="331"/>
      <c r="J14" s="331"/>
      <c r="K14" s="331"/>
      <c r="L14" s="331"/>
      <c r="M14" s="331"/>
      <c r="N14" s="331"/>
      <c r="O14" s="331"/>
      <c r="P14" s="331"/>
      <c r="Q14" s="331"/>
      <c r="R14" s="331"/>
      <c r="S14" s="331"/>
      <c r="T14" s="331"/>
      <c r="U14" s="331"/>
      <c r="V14" s="331"/>
      <c r="W14" s="331"/>
      <c r="X14" s="331"/>
      <c r="Y14" s="331"/>
      <c r="Z14" s="331"/>
      <c r="AA14" s="331"/>
    </row>
    <row r="15" spans="1:27" s="15" customFormat="1" x14ac:dyDescent="0.3">
      <c r="A15" s="13"/>
      <c r="B15" s="13"/>
      <c r="C15" s="13"/>
      <c r="D15" s="13"/>
      <c r="E15" s="13"/>
      <c r="F15" s="13"/>
      <c r="G15" s="14"/>
      <c r="H15" s="14"/>
      <c r="I15" s="14"/>
      <c r="J15" s="14"/>
      <c r="K15" s="14"/>
      <c r="L15" s="14"/>
      <c r="M15" s="14"/>
      <c r="N15" s="14"/>
      <c r="O15" s="14"/>
      <c r="P15" s="14"/>
      <c r="Q15" s="14"/>
      <c r="R15" s="14"/>
      <c r="S15" s="14"/>
      <c r="T15" s="14"/>
      <c r="U15" s="14"/>
      <c r="V15" s="14"/>
      <c r="W15" s="14"/>
      <c r="X15" s="14"/>
      <c r="Y15" s="14"/>
      <c r="Z15" s="14"/>
      <c r="AA15" s="14"/>
    </row>
    <row r="16" spans="1:27" ht="18.75" customHeight="1" x14ac:dyDescent="0.25">
      <c r="A16" s="330" t="s">
        <v>11</v>
      </c>
      <c r="B16" s="330"/>
      <c r="C16" s="330"/>
      <c r="D16" s="330"/>
      <c r="E16" s="330"/>
      <c r="F16" s="330"/>
      <c r="G16" s="332"/>
      <c r="H16" s="332"/>
      <c r="I16" s="332"/>
      <c r="J16" s="332"/>
      <c r="K16" s="332"/>
      <c r="L16" s="332"/>
      <c r="M16" s="332"/>
      <c r="N16" s="332"/>
      <c r="O16" s="332"/>
      <c r="P16" s="332"/>
      <c r="Q16" s="332"/>
      <c r="R16" s="332"/>
      <c r="S16" s="332"/>
      <c r="T16" s="332"/>
      <c r="U16" s="332"/>
      <c r="V16" s="332"/>
      <c r="W16" s="332"/>
      <c r="X16" s="332"/>
      <c r="Y16" s="332"/>
      <c r="Z16" s="332"/>
      <c r="AA16" s="332"/>
    </row>
    <row r="17" spans="1:30" hidden="1" x14ac:dyDescent="0.25"/>
    <row r="18" spans="1:30" ht="69" hidden="1" customHeight="1" x14ac:dyDescent="0.25">
      <c r="A18" s="333" t="s">
        <v>6</v>
      </c>
      <c r="B18" s="333"/>
      <c r="C18" s="333"/>
      <c r="D18" s="333"/>
      <c r="E18" s="333"/>
      <c r="F18" s="333"/>
      <c r="G18" s="334"/>
      <c r="H18" s="334"/>
      <c r="I18" s="334"/>
      <c r="J18" s="334"/>
      <c r="K18" s="334"/>
      <c r="L18" s="334"/>
      <c r="M18" s="334"/>
      <c r="N18" s="334"/>
      <c r="O18" s="334"/>
      <c r="P18" s="334"/>
      <c r="Q18" s="334"/>
      <c r="R18" s="334"/>
      <c r="S18" s="334"/>
      <c r="T18" s="334"/>
      <c r="U18" s="334"/>
      <c r="V18" s="334"/>
      <c r="W18" s="334"/>
      <c r="X18" s="334"/>
      <c r="Y18" s="334"/>
      <c r="Z18" s="334"/>
      <c r="AA18" s="334"/>
    </row>
    <row r="19" spans="1:30" ht="21.2" customHeight="1" x14ac:dyDescent="0.25">
      <c r="A19" s="316" t="str">
        <f>+A5</f>
        <v>Allan Wilsher - Polly</v>
      </c>
      <c r="B19" s="317"/>
      <c r="C19" s="317"/>
      <c r="D19" s="317"/>
      <c r="E19" s="317"/>
      <c r="F19" s="317"/>
      <c r="G19" s="317"/>
      <c r="H19" s="317"/>
      <c r="I19" s="317"/>
      <c r="J19" s="317"/>
      <c r="K19" s="317"/>
      <c r="L19" s="317"/>
      <c r="M19" s="317"/>
      <c r="N19" s="317"/>
      <c r="O19" s="317"/>
      <c r="P19" s="317"/>
      <c r="Q19" s="317"/>
      <c r="R19" s="317"/>
      <c r="S19" s="317"/>
      <c r="T19" s="317"/>
      <c r="U19" s="317"/>
      <c r="V19" s="317"/>
      <c r="W19" s="317"/>
      <c r="X19" s="317"/>
      <c r="Y19" s="317"/>
      <c r="Z19" s="317"/>
      <c r="AA19" s="317"/>
    </row>
    <row r="20" spans="1:30" ht="21.2" customHeight="1" x14ac:dyDescent="0.25">
      <c r="A20" s="318" t="str">
        <f>+A2</f>
        <v>9TH JANUARY 2018</v>
      </c>
      <c r="B20" s="319"/>
      <c r="C20" s="319"/>
      <c r="D20" s="319"/>
      <c r="E20" s="319"/>
      <c r="F20" s="319"/>
      <c r="G20" s="319"/>
      <c r="H20" s="319"/>
      <c r="I20" s="319"/>
      <c r="J20" s="319"/>
      <c r="K20" s="319"/>
      <c r="L20" s="319"/>
      <c r="M20" s="319"/>
      <c r="N20" s="319"/>
      <c r="O20" s="319"/>
      <c r="P20" s="319"/>
      <c r="Q20" s="319"/>
      <c r="R20" s="319"/>
      <c r="S20" s="319"/>
      <c r="T20" s="319"/>
      <c r="U20" s="319"/>
      <c r="V20" s="319"/>
      <c r="W20" s="319"/>
      <c r="X20" s="319"/>
      <c r="Y20" s="319"/>
      <c r="Z20" s="319"/>
      <c r="AA20" s="319"/>
    </row>
    <row r="21" spans="1:30" ht="75.2" customHeight="1" x14ac:dyDescent="0.25">
      <c r="A21" s="92" t="s">
        <v>62</v>
      </c>
      <c r="B21" s="92" t="s">
        <v>63</v>
      </c>
      <c r="C21" s="92" t="s">
        <v>64</v>
      </c>
      <c r="D21" s="92" t="s">
        <v>67</v>
      </c>
      <c r="E21" s="92" t="s">
        <v>65</v>
      </c>
      <c r="F21" s="92" t="s">
        <v>66</v>
      </c>
      <c r="G21" s="92" t="s">
        <v>47</v>
      </c>
      <c r="H21" s="93" t="s">
        <v>68</v>
      </c>
      <c r="I21" s="93" t="s">
        <v>69</v>
      </c>
      <c r="J21" s="92" t="s">
        <v>70</v>
      </c>
      <c r="K21" s="92" t="s">
        <v>71</v>
      </c>
      <c r="L21" s="92" t="s">
        <v>72</v>
      </c>
      <c r="M21" s="92" t="s">
        <v>54</v>
      </c>
      <c r="N21" s="92" t="s">
        <v>55</v>
      </c>
      <c r="O21" s="92" t="s">
        <v>56</v>
      </c>
      <c r="P21" s="92" t="s">
        <v>57</v>
      </c>
      <c r="Q21" s="92" t="s">
        <v>73</v>
      </c>
      <c r="R21" s="92" t="s">
        <v>74</v>
      </c>
      <c r="S21" s="94" t="s">
        <v>2</v>
      </c>
      <c r="T21" s="94" t="s">
        <v>3</v>
      </c>
      <c r="U21" s="94" t="s">
        <v>4</v>
      </c>
      <c r="V21" s="95" t="s">
        <v>5</v>
      </c>
      <c r="W21" s="94" t="s">
        <v>46</v>
      </c>
      <c r="X21" s="95" t="s">
        <v>48</v>
      </c>
      <c r="Y21" s="94" t="s">
        <v>49</v>
      </c>
      <c r="Z21" s="95" t="s">
        <v>50</v>
      </c>
      <c r="AA21" s="106" t="s">
        <v>58</v>
      </c>
    </row>
    <row r="22" spans="1:30" ht="168" customHeight="1" x14ac:dyDescent="0.25">
      <c r="A22" s="105">
        <f>+'QUOTE WORKING SHEET'!A22</f>
        <v>1</v>
      </c>
      <c r="B22" s="105" t="e">
        <f>+'QUOTE WORKING SHEET'!#REF!</f>
        <v>#REF!</v>
      </c>
      <c r="C22" s="105" t="str">
        <f>+'QUOTE WORKING SHEET'!B22</f>
        <v>WG02 STUDY</v>
      </c>
      <c r="D22" s="105" t="e">
        <f>+'QUOTE WORKING SHEET'!#REF!</f>
        <v>#REF!</v>
      </c>
      <c r="E22" s="105" t="e">
        <f>+'QUOTE WORKING SHEET'!#REF!</f>
        <v>#REF!</v>
      </c>
      <c r="F22" s="105" t="e">
        <f>+'QUOTE WORKING SHEET'!#REF!</f>
        <v>#REF!</v>
      </c>
      <c r="G22" s="105" t="str">
        <f>+'QUOTE WORKING SHEET'!C22</f>
        <v>Slim casement window</v>
      </c>
      <c r="H22" s="105">
        <f>+'QUOTE WORKING SHEET'!D22</f>
        <v>1819</v>
      </c>
      <c r="I22" s="105">
        <f>+'QUOTE WORKING SHEET'!E22</f>
        <v>1235</v>
      </c>
      <c r="J22" s="105" t="str">
        <f>+'QUOTE WORKING SHEET'!F22</f>
        <v>White RAL 9010 internal / Pebble Grey RAL7032 external</v>
      </c>
      <c r="K22" s="105" t="e">
        <f>+'QUOTE WORKING SHEET'!#REF!</f>
        <v>#REF!</v>
      </c>
      <c r="L22" s="105" t="str">
        <f>+'QUOTE WORKING SHEET'!G22</f>
        <v xml:space="preserve">3 panels all side hinged </v>
      </c>
      <c r="M22" s="105" t="str">
        <f>+'QUOTE WORKING SHEET'!H22</f>
        <v>8000mm2</v>
      </c>
      <c r="N22" s="105" t="str">
        <f>+'QUOTE WORKING SHEET'!I22</f>
        <v>150mm</v>
      </c>
      <c r="O22" s="105" t="str">
        <f>+'QUOTE WORKING SHEET'!J22</f>
        <v>White internal only</v>
      </c>
      <c r="P22" s="105" t="e">
        <f>+'QUOTE WORKING SHEET'!#REF!</f>
        <v>#REF!</v>
      </c>
      <c r="Q22" s="105" t="e">
        <f>+'QUOTE WORKING SHEET'!#REF!</f>
        <v>#REF!</v>
      </c>
      <c r="R22" s="105" t="e">
        <f>+'QUOTE WORKING SHEET'!#REF!</f>
        <v>#REF!</v>
      </c>
      <c r="S22" s="94">
        <f>+'QUOTE WORKING SHEET'!K22</f>
        <v>585</v>
      </c>
      <c r="T22" s="94">
        <f>+'QUOTE WORKING SHEET'!L22</f>
        <v>101</v>
      </c>
      <c r="U22" s="94">
        <f>+'QUOTE WORKING SHEET'!M22</f>
        <v>686</v>
      </c>
      <c r="V22" s="95">
        <f>+'QUOTE WORKING SHEET'!N22</f>
        <v>1440.6000000000001</v>
      </c>
      <c r="W22" s="94">
        <f>+'QUOTE WORKING SHEET'!O22</f>
        <v>0</v>
      </c>
      <c r="X22" s="95">
        <f>+'QUOTE WORKING SHEET'!P22</f>
        <v>0</v>
      </c>
      <c r="Y22" s="94">
        <f>+'QUOTE WORKING SHEET'!Q22</f>
        <v>0</v>
      </c>
      <c r="Z22" s="95">
        <f>+'QUOTE WORKING SHEET'!R22</f>
        <v>0</v>
      </c>
      <c r="AA22" s="9"/>
      <c r="AB22" s="103"/>
      <c r="AC22" s="103"/>
      <c r="AD22" s="103"/>
    </row>
    <row r="23" spans="1:30" ht="168" customHeight="1" x14ac:dyDescent="0.25">
      <c r="A23" s="105">
        <f>+'QUOTE WORKING SHEET'!A72</f>
        <v>51</v>
      </c>
      <c r="B23" s="105" t="e">
        <f>+'QUOTE WORKING SHEET'!#REF!</f>
        <v>#REF!</v>
      </c>
      <c r="C23" s="105">
        <f>+'QUOTE WORKING SHEET'!B72</f>
        <v>0</v>
      </c>
      <c r="D23" s="105" t="e">
        <f>+'QUOTE WORKING SHEET'!#REF!</f>
        <v>#REF!</v>
      </c>
      <c r="E23" s="105" t="e">
        <f>+'QUOTE WORKING SHEET'!#REF!</f>
        <v>#REF!</v>
      </c>
      <c r="F23" s="105" t="e">
        <f>+'QUOTE WORKING SHEET'!#REF!</f>
        <v>#REF!</v>
      </c>
      <c r="G23" s="105">
        <f>+'QUOTE WORKING SHEET'!C72</f>
        <v>0</v>
      </c>
      <c r="H23" s="105">
        <f>+'QUOTE WORKING SHEET'!D72</f>
        <v>0</v>
      </c>
      <c r="I23" s="105">
        <f>+'QUOTE WORKING SHEET'!E72</f>
        <v>0</v>
      </c>
      <c r="J23" s="105">
        <f>+'QUOTE WORKING SHEET'!F72</f>
        <v>0</v>
      </c>
      <c r="K23" s="105" t="e">
        <f>+'QUOTE WORKING SHEET'!#REF!</f>
        <v>#REF!</v>
      </c>
      <c r="L23" s="105">
        <f>+'QUOTE WORKING SHEET'!G71</f>
        <v>0</v>
      </c>
      <c r="M23" s="105">
        <f>+'QUOTE WORKING SHEET'!H71</f>
        <v>0</v>
      </c>
      <c r="N23" s="105">
        <f>+'QUOTE WORKING SHEET'!I71</f>
        <v>0</v>
      </c>
      <c r="O23" s="105">
        <f>+'QUOTE WORKING SHEET'!J71</f>
        <v>0</v>
      </c>
      <c r="P23" s="105" t="e">
        <f>+'QUOTE WORKING SHEET'!#REF!</f>
        <v>#REF!</v>
      </c>
      <c r="Q23" s="105" t="e">
        <f>+'QUOTE WORKING SHEET'!#REF!</f>
        <v>#REF!</v>
      </c>
      <c r="R23" s="105" t="e">
        <f>+'QUOTE WORKING SHEET'!#REF!</f>
        <v>#REF!</v>
      </c>
      <c r="S23" s="94">
        <f>+'QUOTE WORKING SHEET'!K71</f>
        <v>0</v>
      </c>
      <c r="T23" s="94">
        <f>+'QUOTE WORKING SHEET'!L71</f>
        <v>0</v>
      </c>
      <c r="U23" s="94">
        <f>+'QUOTE WORKING SHEET'!M71</f>
        <v>0</v>
      </c>
      <c r="V23" s="95">
        <f>+'QUOTE WORKING SHEET'!N71</f>
        <v>0</v>
      </c>
      <c r="W23" s="94">
        <f>+'QUOTE WORKING SHEET'!O71</f>
        <v>0</v>
      </c>
      <c r="X23" s="95">
        <f>+'QUOTE WORKING SHEET'!P71</f>
        <v>0</v>
      </c>
      <c r="Y23" s="94">
        <f>+'QUOTE WORKING SHEET'!Q71</f>
        <v>0</v>
      </c>
      <c r="Z23" s="95">
        <f>+'QUOTE WORKING SHEET'!R71</f>
        <v>0</v>
      </c>
      <c r="AA23" s="9"/>
      <c r="AB23" s="103"/>
      <c r="AC23" s="103"/>
      <c r="AD23" s="103"/>
    </row>
    <row r="24" spans="1:30" ht="168" customHeight="1" x14ac:dyDescent="0.25">
      <c r="A24" s="105" t="e">
        <f>+'QUOTE WORKING SHEET'!#REF!</f>
        <v>#REF!</v>
      </c>
      <c r="B24" s="105" t="e">
        <f>+'QUOTE WORKING SHEET'!#REF!</f>
        <v>#REF!</v>
      </c>
      <c r="C24" s="105" t="e">
        <f>+'QUOTE WORKING SHEET'!#REF!</f>
        <v>#REF!</v>
      </c>
      <c r="D24" s="105" t="e">
        <f>+'QUOTE WORKING SHEET'!#REF!</f>
        <v>#REF!</v>
      </c>
      <c r="E24" s="105" t="e">
        <f>+'QUOTE WORKING SHEET'!#REF!</f>
        <v>#REF!</v>
      </c>
      <c r="F24" s="105" t="e">
        <f>+'QUOTE WORKING SHEET'!#REF!</f>
        <v>#REF!</v>
      </c>
      <c r="G24" s="105" t="e">
        <f>+'QUOTE WORKING SHEET'!#REF!</f>
        <v>#REF!</v>
      </c>
      <c r="H24" s="105" t="e">
        <f>+'QUOTE WORKING SHEET'!#REF!</f>
        <v>#REF!</v>
      </c>
      <c r="I24" s="105" t="e">
        <f>+'QUOTE WORKING SHEET'!#REF!</f>
        <v>#REF!</v>
      </c>
      <c r="J24" s="105" t="e">
        <f>+'QUOTE WORKING SHEET'!#REF!</f>
        <v>#REF!</v>
      </c>
      <c r="K24" s="105" t="e">
        <f>+'QUOTE WORKING SHEET'!#REF!</f>
        <v>#REF!</v>
      </c>
      <c r="L24" s="105">
        <f>+'QUOTE WORKING SHEET'!G72</f>
        <v>0</v>
      </c>
      <c r="M24" s="105">
        <f>+'QUOTE WORKING SHEET'!H72</f>
        <v>0</v>
      </c>
      <c r="N24" s="105">
        <f>+'QUOTE WORKING SHEET'!I72</f>
        <v>0</v>
      </c>
      <c r="O24" s="105">
        <f>+'QUOTE WORKING SHEET'!J72</f>
        <v>0</v>
      </c>
      <c r="P24" s="105" t="e">
        <f>+'QUOTE WORKING SHEET'!#REF!</f>
        <v>#REF!</v>
      </c>
      <c r="Q24" s="105" t="e">
        <f>+'QUOTE WORKING SHEET'!#REF!</f>
        <v>#REF!</v>
      </c>
      <c r="R24" s="105" t="e">
        <f>+'QUOTE WORKING SHEET'!#REF!</f>
        <v>#REF!</v>
      </c>
      <c r="S24" s="94">
        <f>+'QUOTE WORKING SHEET'!K72</f>
        <v>0</v>
      </c>
      <c r="T24" s="94">
        <f>+'QUOTE WORKING SHEET'!L72</f>
        <v>0</v>
      </c>
      <c r="U24" s="94">
        <f>+'QUOTE WORKING SHEET'!M72</f>
        <v>0</v>
      </c>
      <c r="V24" s="95">
        <f>+'QUOTE WORKING SHEET'!N72</f>
        <v>0</v>
      </c>
      <c r="W24" s="94">
        <f>+'QUOTE WORKING SHEET'!O72</f>
        <v>0</v>
      </c>
      <c r="X24" s="95">
        <f>+'QUOTE WORKING SHEET'!P72</f>
        <v>0</v>
      </c>
      <c r="Y24" s="94">
        <f>+'QUOTE WORKING SHEET'!Q72</f>
        <v>0</v>
      </c>
      <c r="Z24" s="95">
        <f>+'QUOTE WORKING SHEET'!R72</f>
        <v>0</v>
      </c>
      <c r="AA24" s="9"/>
      <c r="AB24" s="103"/>
      <c r="AC24" s="103"/>
      <c r="AD24" s="103"/>
    </row>
    <row r="25" spans="1:30" ht="168" customHeight="1" x14ac:dyDescent="0.25">
      <c r="A25" s="105">
        <f>+'QUOTE WORKING SHEET'!A73</f>
        <v>52</v>
      </c>
      <c r="B25" s="105" t="e">
        <f>+'QUOTE WORKING SHEET'!#REF!</f>
        <v>#REF!</v>
      </c>
      <c r="C25" s="105">
        <f>+'QUOTE WORKING SHEET'!B73</f>
        <v>0</v>
      </c>
      <c r="D25" s="105" t="e">
        <f>+'QUOTE WORKING SHEET'!#REF!</f>
        <v>#REF!</v>
      </c>
      <c r="E25" s="105" t="e">
        <f>+'QUOTE WORKING SHEET'!#REF!</f>
        <v>#REF!</v>
      </c>
      <c r="F25" s="105" t="e">
        <f>+'QUOTE WORKING SHEET'!#REF!</f>
        <v>#REF!</v>
      </c>
      <c r="G25" s="105">
        <f>+'QUOTE WORKING SHEET'!C73</f>
        <v>0</v>
      </c>
      <c r="H25" s="105">
        <f>+'QUOTE WORKING SHEET'!D73</f>
        <v>0</v>
      </c>
      <c r="I25" s="105">
        <f>+'QUOTE WORKING SHEET'!E73</f>
        <v>0</v>
      </c>
      <c r="J25" s="105">
        <f>+'QUOTE WORKING SHEET'!F73</f>
        <v>0</v>
      </c>
      <c r="K25" s="105" t="e">
        <f>+'QUOTE WORKING SHEET'!#REF!</f>
        <v>#REF!</v>
      </c>
      <c r="L25" s="105">
        <f>+'QUOTE WORKING SHEET'!G73</f>
        <v>0</v>
      </c>
      <c r="M25" s="105">
        <f>+'QUOTE WORKING SHEET'!H73</f>
        <v>0</v>
      </c>
      <c r="N25" s="105">
        <f>+'QUOTE WORKING SHEET'!I73</f>
        <v>0</v>
      </c>
      <c r="O25" s="105">
        <f>+'QUOTE WORKING SHEET'!J73</f>
        <v>0</v>
      </c>
      <c r="P25" s="105" t="e">
        <f>+'QUOTE WORKING SHEET'!#REF!</f>
        <v>#REF!</v>
      </c>
      <c r="Q25" s="105" t="e">
        <f>+'QUOTE WORKING SHEET'!#REF!</f>
        <v>#REF!</v>
      </c>
      <c r="R25" s="105" t="e">
        <f>+'QUOTE WORKING SHEET'!#REF!</f>
        <v>#REF!</v>
      </c>
      <c r="S25" s="94">
        <f>+'QUOTE WORKING SHEET'!K73</f>
        <v>0</v>
      </c>
      <c r="T25" s="94">
        <f>+'QUOTE WORKING SHEET'!L73</f>
        <v>0</v>
      </c>
      <c r="U25" s="94">
        <f>+'QUOTE WORKING SHEET'!M73</f>
        <v>0</v>
      </c>
      <c r="V25" s="95">
        <f>+'QUOTE WORKING SHEET'!N73</f>
        <v>0</v>
      </c>
      <c r="W25" s="94">
        <f>+'QUOTE WORKING SHEET'!O73</f>
        <v>0</v>
      </c>
      <c r="X25" s="95">
        <f>+'QUOTE WORKING SHEET'!P73</f>
        <v>0</v>
      </c>
      <c r="Y25" s="94">
        <f>+'QUOTE WORKING SHEET'!Q73</f>
        <v>0</v>
      </c>
      <c r="Z25" s="95">
        <f>+'QUOTE WORKING SHEET'!R73</f>
        <v>0</v>
      </c>
      <c r="AA25" s="9"/>
      <c r="AB25" s="103"/>
      <c r="AC25" s="103"/>
      <c r="AD25" s="103"/>
    </row>
    <row r="26" spans="1:30" ht="168" customHeight="1" x14ac:dyDescent="0.25">
      <c r="A26" s="105">
        <f>+'QUOTE WORKING SHEET'!A76</f>
        <v>55</v>
      </c>
      <c r="B26" s="105" t="e">
        <f>+'QUOTE WORKING SHEET'!#REF!</f>
        <v>#REF!</v>
      </c>
      <c r="C26" s="105">
        <f>+'QUOTE WORKING SHEET'!B76</f>
        <v>0</v>
      </c>
      <c r="D26" s="105" t="e">
        <f>+'QUOTE WORKING SHEET'!#REF!</f>
        <v>#REF!</v>
      </c>
      <c r="E26" s="105" t="e">
        <f>+'QUOTE WORKING SHEET'!#REF!</f>
        <v>#REF!</v>
      </c>
      <c r="F26" s="105" t="e">
        <f>+'QUOTE WORKING SHEET'!#REF!</f>
        <v>#REF!</v>
      </c>
      <c r="G26" s="105">
        <f>+'QUOTE WORKING SHEET'!C74</f>
        <v>0</v>
      </c>
      <c r="H26" s="105">
        <f>+'QUOTE WORKING SHEET'!D74</f>
        <v>0</v>
      </c>
      <c r="I26" s="105">
        <f>+'QUOTE WORKING SHEET'!E74</f>
        <v>0</v>
      </c>
      <c r="J26" s="105">
        <f>+'QUOTE WORKING SHEET'!F74</f>
        <v>0</v>
      </c>
      <c r="K26" s="105" t="e">
        <f>+'QUOTE WORKING SHEET'!#REF!</f>
        <v>#REF!</v>
      </c>
      <c r="L26" s="105">
        <f>+'QUOTE WORKING SHEET'!G74</f>
        <v>0</v>
      </c>
      <c r="M26" s="105">
        <f>+'QUOTE WORKING SHEET'!H74</f>
        <v>0</v>
      </c>
      <c r="N26" s="105">
        <f>+'QUOTE WORKING SHEET'!I74</f>
        <v>0</v>
      </c>
      <c r="O26" s="105">
        <f>+'QUOTE WORKING SHEET'!J74</f>
        <v>0</v>
      </c>
      <c r="P26" s="105" t="e">
        <f>+'QUOTE WORKING SHEET'!#REF!</f>
        <v>#REF!</v>
      </c>
      <c r="Q26" s="105" t="e">
        <f>+'QUOTE WORKING SHEET'!#REF!</f>
        <v>#REF!</v>
      </c>
      <c r="R26" s="105" t="e">
        <f>+'QUOTE WORKING SHEET'!#REF!</f>
        <v>#REF!</v>
      </c>
      <c r="S26" s="94">
        <f>+'QUOTE WORKING SHEET'!K74</f>
        <v>0</v>
      </c>
      <c r="T26" s="94">
        <f>+'QUOTE WORKING SHEET'!L74</f>
        <v>0</v>
      </c>
      <c r="U26" s="94">
        <f>+'QUOTE WORKING SHEET'!M74</f>
        <v>0</v>
      </c>
      <c r="V26" s="95">
        <f>+'QUOTE WORKING SHEET'!N74</f>
        <v>0</v>
      </c>
      <c r="W26" s="94">
        <f>+'QUOTE WORKING SHEET'!O74</f>
        <v>0</v>
      </c>
      <c r="X26" s="95">
        <f>+'QUOTE WORKING SHEET'!P74</f>
        <v>0</v>
      </c>
      <c r="Y26" s="94">
        <f>+'QUOTE WORKING SHEET'!Q74</f>
        <v>0</v>
      </c>
      <c r="Z26" s="95">
        <f>+'QUOTE WORKING SHEET'!R74</f>
        <v>0</v>
      </c>
      <c r="AA26" s="9"/>
      <c r="AB26" s="103"/>
      <c r="AC26" s="103"/>
      <c r="AD26" s="103"/>
    </row>
    <row r="27" spans="1:30" ht="168" customHeight="1" x14ac:dyDescent="0.25">
      <c r="A27" s="105">
        <f>+'QUOTE WORKING SHEET'!A77</f>
        <v>56</v>
      </c>
      <c r="B27" s="105" t="e">
        <f>+'QUOTE WORKING SHEET'!#REF!</f>
        <v>#REF!</v>
      </c>
      <c r="C27" s="105">
        <f>+'QUOTE WORKING SHEET'!B77</f>
        <v>0</v>
      </c>
      <c r="D27" s="105" t="e">
        <f>+'QUOTE WORKING SHEET'!#REF!</f>
        <v>#REF!</v>
      </c>
      <c r="E27" s="105" t="e">
        <f>+'QUOTE WORKING SHEET'!#REF!</f>
        <v>#REF!</v>
      </c>
      <c r="F27" s="105" t="e">
        <f>+'QUOTE WORKING SHEET'!#REF!</f>
        <v>#REF!</v>
      </c>
      <c r="G27" s="105">
        <f>+'QUOTE WORKING SHEET'!C75</f>
        <v>0</v>
      </c>
      <c r="H27" s="105">
        <f>+'QUOTE WORKING SHEET'!D75</f>
        <v>0</v>
      </c>
      <c r="I27" s="105">
        <f>+'QUOTE WORKING SHEET'!E75</f>
        <v>0</v>
      </c>
      <c r="J27" s="105">
        <f>+'QUOTE WORKING SHEET'!F75</f>
        <v>0</v>
      </c>
      <c r="K27" s="105" t="e">
        <f>+'QUOTE WORKING SHEET'!#REF!</f>
        <v>#REF!</v>
      </c>
      <c r="L27" s="105">
        <f>+'QUOTE WORKING SHEET'!G75</f>
        <v>0</v>
      </c>
      <c r="M27" s="105">
        <f>+'QUOTE WORKING SHEET'!H75</f>
        <v>0</v>
      </c>
      <c r="N27" s="105">
        <f>+'QUOTE WORKING SHEET'!I75</f>
        <v>0</v>
      </c>
      <c r="O27" s="105">
        <f>+'QUOTE WORKING SHEET'!J75</f>
        <v>0</v>
      </c>
      <c r="P27" s="105" t="e">
        <f>+'QUOTE WORKING SHEET'!#REF!</f>
        <v>#REF!</v>
      </c>
      <c r="Q27" s="105" t="e">
        <f>+'QUOTE WORKING SHEET'!#REF!</f>
        <v>#REF!</v>
      </c>
      <c r="R27" s="105" t="e">
        <f>+'QUOTE WORKING SHEET'!#REF!</f>
        <v>#REF!</v>
      </c>
      <c r="S27" s="94">
        <f>+'QUOTE WORKING SHEET'!K75</f>
        <v>0</v>
      </c>
      <c r="T27" s="94">
        <f>+'QUOTE WORKING SHEET'!L75</f>
        <v>0</v>
      </c>
      <c r="U27" s="94">
        <f>+'QUOTE WORKING SHEET'!M75</f>
        <v>0</v>
      </c>
      <c r="V27" s="95">
        <f>+'QUOTE WORKING SHEET'!N75</f>
        <v>0</v>
      </c>
      <c r="W27" s="94">
        <f>+'QUOTE WORKING SHEET'!O75</f>
        <v>0</v>
      </c>
      <c r="X27" s="95">
        <f>+'QUOTE WORKING SHEET'!P75</f>
        <v>0</v>
      </c>
      <c r="Y27" s="94">
        <f>+'QUOTE WORKING SHEET'!Q75</f>
        <v>0</v>
      </c>
      <c r="Z27" s="95">
        <f>+'QUOTE WORKING SHEET'!R75</f>
        <v>0</v>
      </c>
      <c r="AA27" s="9"/>
      <c r="AB27" s="103"/>
      <c r="AC27" s="103"/>
      <c r="AD27" s="103"/>
    </row>
    <row r="28" spans="1:30" ht="168" customHeight="1" x14ac:dyDescent="0.25">
      <c r="A28" s="105">
        <f>+'QUOTE WORKING SHEET'!A78</f>
        <v>57</v>
      </c>
      <c r="B28" s="105" t="e">
        <f>+'QUOTE WORKING SHEET'!#REF!</f>
        <v>#REF!</v>
      </c>
      <c r="C28" s="105">
        <f>+'QUOTE WORKING SHEET'!B78</f>
        <v>0</v>
      </c>
      <c r="D28" s="105" t="e">
        <f>+'QUOTE WORKING SHEET'!#REF!</f>
        <v>#REF!</v>
      </c>
      <c r="E28" s="105" t="e">
        <f>+'QUOTE WORKING SHEET'!#REF!</f>
        <v>#REF!</v>
      </c>
      <c r="F28" s="105" t="e">
        <f>+'QUOTE WORKING SHEET'!#REF!</f>
        <v>#REF!</v>
      </c>
      <c r="G28" s="105">
        <f>+'QUOTE WORKING SHEET'!C76</f>
        <v>0</v>
      </c>
      <c r="H28" s="105">
        <f>+'QUOTE WORKING SHEET'!D76</f>
        <v>0</v>
      </c>
      <c r="I28" s="105">
        <f>+'QUOTE WORKING SHEET'!E76</f>
        <v>0</v>
      </c>
      <c r="J28" s="105">
        <f>+'QUOTE WORKING SHEET'!F76</f>
        <v>0</v>
      </c>
      <c r="K28" s="105" t="e">
        <f>+'QUOTE WORKING SHEET'!#REF!</f>
        <v>#REF!</v>
      </c>
      <c r="L28" s="105">
        <f>+'QUOTE WORKING SHEET'!G76</f>
        <v>0</v>
      </c>
      <c r="M28" s="105">
        <f>+'QUOTE WORKING SHEET'!H76</f>
        <v>0</v>
      </c>
      <c r="N28" s="105">
        <f>+'QUOTE WORKING SHEET'!I76</f>
        <v>0</v>
      </c>
      <c r="O28" s="105">
        <f>+'QUOTE WORKING SHEET'!J76</f>
        <v>0</v>
      </c>
      <c r="P28" s="105" t="e">
        <f>+'QUOTE WORKING SHEET'!#REF!</f>
        <v>#REF!</v>
      </c>
      <c r="Q28" s="105" t="e">
        <f>+'QUOTE WORKING SHEET'!#REF!</f>
        <v>#REF!</v>
      </c>
      <c r="R28" s="105" t="e">
        <f>+'QUOTE WORKING SHEET'!#REF!</f>
        <v>#REF!</v>
      </c>
      <c r="S28" s="94">
        <f>+'QUOTE WORKING SHEET'!K76</f>
        <v>0</v>
      </c>
      <c r="T28" s="94">
        <f>+'QUOTE WORKING SHEET'!L76</f>
        <v>0</v>
      </c>
      <c r="U28" s="94">
        <f>+'QUOTE WORKING SHEET'!M76</f>
        <v>0</v>
      </c>
      <c r="V28" s="95">
        <f>+'QUOTE WORKING SHEET'!N76</f>
        <v>0</v>
      </c>
      <c r="W28" s="94">
        <f>+'QUOTE WORKING SHEET'!O76</f>
        <v>0</v>
      </c>
      <c r="X28" s="95">
        <f>+'QUOTE WORKING SHEET'!P76</f>
        <v>0</v>
      </c>
      <c r="Y28" s="94">
        <f>+'QUOTE WORKING SHEET'!Q76</f>
        <v>0</v>
      </c>
      <c r="Z28" s="95">
        <f>+'QUOTE WORKING SHEET'!R76</f>
        <v>0</v>
      </c>
      <c r="AA28" s="9"/>
      <c r="AB28" s="103"/>
      <c r="AC28" s="103"/>
      <c r="AD28" s="103"/>
    </row>
    <row r="29" spans="1:30" ht="168" customHeight="1" x14ac:dyDescent="0.25">
      <c r="A29" s="105">
        <f>+'QUOTE WORKING SHEET'!A79</f>
        <v>58</v>
      </c>
      <c r="B29" s="105" t="e">
        <f>+'QUOTE WORKING SHEET'!#REF!</f>
        <v>#REF!</v>
      </c>
      <c r="C29" s="105">
        <f>+'QUOTE WORKING SHEET'!B79</f>
        <v>0</v>
      </c>
      <c r="D29" s="105" t="e">
        <f>+'QUOTE WORKING SHEET'!#REF!</f>
        <v>#REF!</v>
      </c>
      <c r="E29" s="105" t="e">
        <f>+'QUOTE WORKING SHEET'!#REF!</f>
        <v>#REF!</v>
      </c>
      <c r="F29" s="105" t="e">
        <f>+'QUOTE WORKING SHEET'!#REF!</f>
        <v>#REF!</v>
      </c>
      <c r="G29" s="105">
        <f>+'QUOTE WORKING SHEET'!C77</f>
        <v>0</v>
      </c>
      <c r="H29" s="105">
        <f>+'QUOTE WORKING SHEET'!D77</f>
        <v>0</v>
      </c>
      <c r="I29" s="105">
        <f>+'QUOTE WORKING SHEET'!E77</f>
        <v>0</v>
      </c>
      <c r="J29" s="105">
        <f>+'QUOTE WORKING SHEET'!F77</f>
        <v>0</v>
      </c>
      <c r="K29" s="105" t="e">
        <f>+'QUOTE WORKING SHEET'!#REF!</f>
        <v>#REF!</v>
      </c>
      <c r="L29" s="105">
        <f>+'QUOTE WORKING SHEET'!G77</f>
        <v>0</v>
      </c>
      <c r="M29" s="105">
        <f>+'QUOTE WORKING SHEET'!H77</f>
        <v>0</v>
      </c>
      <c r="N29" s="105">
        <f>+'QUOTE WORKING SHEET'!I77</f>
        <v>0</v>
      </c>
      <c r="O29" s="105">
        <f>+'QUOTE WORKING SHEET'!J77</f>
        <v>0</v>
      </c>
      <c r="P29" s="105" t="e">
        <f>+'QUOTE WORKING SHEET'!#REF!</f>
        <v>#REF!</v>
      </c>
      <c r="Q29" s="105" t="e">
        <f>+'QUOTE WORKING SHEET'!#REF!</f>
        <v>#REF!</v>
      </c>
      <c r="R29" s="105" t="e">
        <f>+'QUOTE WORKING SHEET'!#REF!</f>
        <v>#REF!</v>
      </c>
      <c r="S29" s="94">
        <f>+'QUOTE WORKING SHEET'!K77</f>
        <v>0</v>
      </c>
      <c r="T29" s="94">
        <f>+'QUOTE WORKING SHEET'!L77</f>
        <v>0</v>
      </c>
      <c r="U29" s="94">
        <f>+'QUOTE WORKING SHEET'!M77</f>
        <v>0</v>
      </c>
      <c r="V29" s="95">
        <f>+'QUOTE WORKING SHEET'!N77</f>
        <v>0</v>
      </c>
      <c r="W29" s="94">
        <f>+'QUOTE WORKING SHEET'!O77</f>
        <v>0</v>
      </c>
      <c r="X29" s="95">
        <f>+'QUOTE WORKING SHEET'!P77</f>
        <v>0</v>
      </c>
      <c r="Y29" s="94">
        <f>+'QUOTE WORKING SHEET'!Q77</f>
        <v>0</v>
      </c>
      <c r="Z29" s="95">
        <f>+'QUOTE WORKING SHEET'!R77</f>
        <v>0</v>
      </c>
      <c r="AA29" s="9"/>
      <c r="AB29" s="103"/>
      <c r="AC29" s="103"/>
      <c r="AD29" s="103"/>
    </row>
    <row r="30" spans="1:30" ht="168" customHeight="1" x14ac:dyDescent="0.25">
      <c r="A30" s="105">
        <f>+'QUOTE WORKING SHEET'!A80</f>
        <v>59</v>
      </c>
      <c r="B30" s="105" t="e">
        <f>+'QUOTE WORKING SHEET'!#REF!</f>
        <v>#REF!</v>
      </c>
      <c r="C30" s="105">
        <f>+'QUOTE WORKING SHEET'!B80</f>
        <v>0</v>
      </c>
      <c r="D30" s="105" t="e">
        <f>+'QUOTE WORKING SHEET'!#REF!</f>
        <v>#REF!</v>
      </c>
      <c r="E30" s="105" t="e">
        <f>+'QUOTE WORKING SHEET'!#REF!</f>
        <v>#REF!</v>
      </c>
      <c r="F30" s="105" t="e">
        <f>+'QUOTE WORKING SHEET'!#REF!</f>
        <v>#REF!</v>
      </c>
      <c r="G30" s="105">
        <f>+'QUOTE WORKING SHEET'!C78</f>
        <v>0</v>
      </c>
      <c r="H30" s="105">
        <f>+'QUOTE WORKING SHEET'!D78</f>
        <v>0</v>
      </c>
      <c r="I30" s="105">
        <f>+'QUOTE WORKING SHEET'!E78</f>
        <v>0</v>
      </c>
      <c r="J30" s="105">
        <f>+'QUOTE WORKING SHEET'!F78</f>
        <v>0</v>
      </c>
      <c r="K30" s="105" t="e">
        <f>+'QUOTE WORKING SHEET'!#REF!</f>
        <v>#REF!</v>
      </c>
      <c r="L30" s="105">
        <f>+'QUOTE WORKING SHEET'!G78</f>
        <v>0</v>
      </c>
      <c r="M30" s="105">
        <f>+'QUOTE WORKING SHEET'!H78</f>
        <v>0</v>
      </c>
      <c r="N30" s="105">
        <f>+'QUOTE WORKING SHEET'!I78</f>
        <v>0</v>
      </c>
      <c r="O30" s="105">
        <f>+'QUOTE WORKING SHEET'!J78</f>
        <v>0</v>
      </c>
      <c r="P30" s="105" t="e">
        <f>+'QUOTE WORKING SHEET'!#REF!</f>
        <v>#REF!</v>
      </c>
      <c r="Q30" s="105" t="e">
        <f>+'QUOTE WORKING SHEET'!#REF!</f>
        <v>#REF!</v>
      </c>
      <c r="R30" s="105" t="e">
        <f>+'QUOTE WORKING SHEET'!#REF!</f>
        <v>#REF!</v>
      </c>
      <c r="S30" s="94">
        <f>+'QUOTE WORKING SHEET'!K78</f>
        <v>0</v>
      </c>
      <c r="T30" s="94">
        <f>+'QUOTE WORKING SHEET'!L78</f>
        <v>0</v>
      </c>
      <c r="U30" s="94">
        <f>+'QUOTE WORKING SHEET'!M78</f>
        <v>0</v>
      </c>
      <c r="V30" s="95">
        <f>+'QUOTE WORKING SHEET'!N78</f>
        <v>0</v>
      </c>
      <c r="W30" s="94">
        <f>+'QUOTE WORKING SHEET'!O78</f>
        <v>0</v>
      </c>
      <c r="X30" s="95">
        <f>+'QUOTE WORKING SHEET'!P78</f>
        <v>0</v>
      </c>
      <c r="Y30" s="94">
        <f>+'QUOTE WORKING SHEET'!Q78</f>
        <v>0</v>
      </c>
      <c r="Z30" s="95">
        <f>+'QUOTE WORKING SHEET'!R78</f>
        <v>0</v>
      </c>
      <c r="AA30" s="9"/>
      <c r="AB30" s="103"/>
      <c r="AC30" s="103"/>
      <c r="AD30" s="103"/>
    </row>
    <row r="31" spans="1:30" ht="168" customHeight="1" x14ac:dyDescent="0.25">
      <c r="A31" s="105">
        <f>+'QUOTE WORKING SHEET'!A81</f>
        <v>60</v>
      </c>
      <c r="B31" s="105" t="e">
        <f>+'QUOTE WORKING SHEET'!#REF!</f>
        <v>#REF!</v>
      </c>
      <c r="C31" s="105">
        <f>+'QUOTE WORKING SHEET'!B81</f>
        <v>0</v>
      </c>
      <c r="D31" s="105" t="e">
        <f>+'QUOTE WORKING SHEET'!#REF!</f>
        <v>#REF!</v>
      </c>
      <c r="E31" s="105" t="e">
        <f>+'QUOTE WORKING SHEET'!#REF!</f>
        <v>#REF!</v>
      </c>
      <c r="F31" s="105" t="e">
        <f>+'QUOTE WORKING SHEET'!#REF!</f>
        <v>#REF!</v>
      </c>
      <c r="G31" s="105">
        <f>+'QUOTE WORKING SHEET'!C79</f>
        <v>0</v>
      </c>
      <c r="H31" s="105">
        <f>+'QUOTE WORKING SHEET'!D79</f>
        <v>0</v>
      </c>
      <c r="I31" s="105">
        <f>+'QUOTE WORKING SHEET'!E79</f>
        <v>0</v>
      </c>
      <c r="J31" s="105">
        <f>+'QUOTE WORKING SHEET'!F79</f>
        <v>0</v>
      </c>
      <c r="K31" s="105" t="e">
        <f>+'QUOTE WORKING SHEET'!#REF!</f>
        <v>#REF!</v>
      </c>
      <c r="L31" s="105">
        <f>+'QUOTE WORKING SHEET'!G79</f>
        <v>0</v>
      </c>
      <c r="M31" s="105">
        <f>+'QUOTE WORKING SHEET'!H79</f>
        <v>0</v>
      </c>
      <c r="N31" s="105">
        <f>+'QUOTE WORKING SHEET'!I79</f>
        <v>0</v>
      </c>
      <c r="O31" s="105">
        <f>+'QUOTE WORKING SHEET'!J79</f>
        <v>0</v>
      </c>
      <c r="P31" s="105" t="e">
        <f>+'QUOTE WORKING SHEET'!#REF!</f>
        <v>#REF!</v>
      </c>
      <c r="Q31" s="105" t="e">
        <f>+'QUOTE WORKING SHEET'!#REF!</f>
        <v>#REF!</v>
      </c>
      <c r="R31" s="105" t="e">
        <f>+'QUOTE WORKING SHEET'!#REF!</f>
        <v>#REF!</v>
      </c>
      <c r="S31" s="94">
        <f>+'QUOTE WORKING SHEET'!K79</f>
        <v>0</v>
      </c>
      <c r="T31" s="94">
        <f>+'QUOTE WORKING SHEET'!L79</f>
        <v>0</v>
      </c>
      <c r="U31" s="94">
        <f>+'QUOTE WORKING SHEET'!M79</f>
        <v>0</v>
      </c>
      <c r="V31" s="95">
        <f>+'QUOTE WORKING SHEET'!N79</f>
        <v>0</v>
      </c>
      <c r="W31" s="94">
        <f>+'QUOTE WORKING SHEET'!O79</f>
        <v>0</v>
      </c>
      <c r="X31" s="95">
        <f>+'QUOTE WORKING SHEET'!P79</f>
        <v>0</v>
      </c>
      <c r="Y31" s="94">
        <f>+'QUOTE WORKING SHEET'!Q79</f>
        <v>0</v>
      </c>
      <c r="Z31" s="95">
        <f>+'QUOTE WORKING SHEET'!R79</f>
        <v>0</v>
      </c>
      <c r="AA31" s="9"/>
      <c r="AB31" s="103"/>
      <c r="AC31" s="103"/>
      <c r="AD31" s="103"/>
    </row>
    <row r="32" spans="1:30" ht="168" customHeight="1" x14ac:dyDescent="0.25">
      <c r="A32" s="105">
        <f>+'QUOTE WORKING SHEET'!A82</f>
        <v>61</v>
      </c>
      <c r="B32" s="105" t="e">
        <f>+'QUOTE WORKING SHEET'!#REF!</f>
        <v>#REF!</v>
      </c>
      <c r="C32" s="105">
        <f>+'QUOTE WORKING SHEET'!B82</f>
        <v>0</v>
      </c>
      <c r="D32" s="105" t="e">
        <f>+'QUOTE WORKING SHEET'!#REF!</f>
        <v>#REF!</v>
      </c>
      <c r="E32" s="105" t="e">
        <f>+'QUOTE WORKING SHEET'!#REF!</f>
        <v>#REF!</v>
      </c>
      <c r="F32" s="105" t="e">
        <f>+'QUOTE WORKING SHEET'!#REF!</f>
        <v>#REF!</v>
      </c>
      <c r="G32" s="105">
        <f>+'QUOTE WORKING SHEET'!C80</f>
        <v>0</v>
      </c>
      <c r="H32" s="105">
        <f>+'QUOTE WORKING SHEET'!D80</f>
        <v>0</v>
      </c>
      <c r="I32" s="105">
        <f>+'QUOTE WORKING SHEET'!E80</f>
        <v>0</v>
      </c>
      <c r="J32" s="105">
        <f>+'QUOTE WORKING SHEET'!F80</f>
        <v>0</v>
      </c>
      <c r="K32" s="105" t="e">
        <f>+'QUOTE WORKING SHEET'!#REF!</f>
        <v>#REF!</v>
      </c>
      <c r="L32" s="105">
        <f>+'QUOTE WORKING SHEET'!G80</f>
        <v>0</v>
      </c>
      <c r="M32" s="105">
        <f>+'QUOTE WORKING SHEET'!H80</f>
        <v>0</v>
      </c>
      <c r="N32" s="105">
        <f>+'QUOTE WORKING SHEET'!I80</f>
        <v>0</v>
      </c>
      <c r="O32" s="105">
        <f>+'QUOTE WORKING SHEET'!J80</f>
        <v>0</v>
      </c>
      <c r="P32" s="105" t="e">
        <f>+'QUOTE WORKING SHEET'!#REF!</f>
        <v>#REF!</v>
      </c>
      <c r="Q32" s="105" t="e">
        <f>+'QUOTE WORKING SHEET'!#REF!</f>
        <v>#REF!</v>
      </c>
      <c r="R32" s="105" t="e">
        <f>+'QUOTE WORKING SHEET'!#REF!</f>
        <v>#REF!</v>
      </c>
      <c r="S32" s="94">
        <f>+'QUOTE WORKING SHEET'!K80</f>
        <v>0</v>
      </c>
      <c r="T32" s="94">
        <f>+'QUOTE WORKING SHEET'!L80</f>
        <v>0</v>
      </c>
      <c r="U32" s="94">
        <f>+'QUOTE WORKING SHEET'!M80</f>
        <v>0</v>
      </c>
      <c r="V32" s="95">
        <f>+'QUOTE WORKING SHEET'!N80</f>
        <v>0</v>
      </c>
      <c r="W32" s="94">
        <f>+'QUOTE WORKING SHEET'!O80</f>
        <v>0</v>
      </c>
      <c r="X32" s="95">
        <f>+'QUOTE WORKING SHEET'!P80</f>
        <v>0</v>
      </c>
      <c r="Y32" s="94">
        <f>+'QUOTE WORKING SHEET'!Q80</f>
        <v>0</v>
      </c>
      <c r="Z32" s="95">
        <f>+'QUOTE WORKING SHEET'!R80</f>
        <v>0</v>
      </c>
      <c r="AA32" s="9"/>
      <c r="AB32" s="103"/>
      <c r="AC32" s="103"/>
      <c r="AD32" s="103"/>
    </row>
    <row r="33" spans="1:30" ht="168" customHeight="1" x14ac:dyDescent="0.25">
      <c r="A33" s="105">
        <f>+'QUOTE WORKING SHEET'!A83</f>
        <v>62</v>
      </c>
      <c r="B33" s="105" t="e">
        <f>+'QUOTE WORKING SHEET'!#REF!</f>
        <v>#REF!</v>
      </c>
      <c r="C33" s="105">
        <f>+'QUOTE WORKING SHEET'!B83</f>
        <v>0</v>
      </c>
      <c r="D33" s="105" t="e">
        <f>+'QUOTE WORKING SHEET'!#REF!</f>
        <v>#REF!</v>
      </c>
      <c r="E33" s="105" t="e">
        <f>+'QUOTE WORKING SHEET'!#REF!</f>
        <v>#REF!</v>
      </c>
      <c r="F33" s="105" t="e">
        <f>+'QUOTE WORKING SHEET'!#REF!</f>
        <v>#REF!</v>
      </c>
      <c r="G33" s="105">
        <f>+'QUOTE WORKING SHEET'!C81</f>
        <v>0</v>
      </c>
      <c r="H33" s="105">
        <f>+'QUOTE WORKING SHEET'!D81</f>
        <v>0</v>
      </c>
      <c r="I33" s="105">
        <f>+'QUOTE WORKING SHEET'!E81</f>
        <v>0</v>
      </c>
      <c r="J33" s="105">
        <f>+'QUOTE WORKING SHEET'!F81</f>
        <v>0</v>
      </c>
      <c r="K33" s="105" t="e">
        <f>+'QUOTE WORKING SHEET'!#REF!</f>
        <v>#REF!</v>
      </c>
      <c r="L33" s="105">
        <f>+'QUOTE WORKING SHEET'!G81</f>
        <v>0</v>
      </c>
      <c r="M33" s="105">
        <f>+'QUOTE WORKING SHEET'!H81</f>
        <v>0</v>
      </c>
      <c r="N33" s="105">
        <f>+'QUOTE WORKING SHEET'!I81</f>
        <v>0</v>
      </c>
      <c r="O33" s="105">
        <f>+'QUOTE WORKING SHEET'!J81</f>
        <v>0</v>
      </c>
      <c r="P33" s="105" t="e">
        <f>+'QUOTE WORKING SHEET'!#REF!</f>
        <v>#REF!</v>
      </c>
      <c r="Q33" s="105" t="e">
        <f>+'QUOTE WORKING SHEET'!#REF!</f>
        <v>#REF!</v>
      </c>
      <c r="R33" s="105" t="e">
        <f>+'QUOTE WORKING SHEET'!#REF!</f>
        <v>#REF!</v>
      </c>
      <c r="S33" s="94">
        <f>+'QUOTE WORKING SHEET'!K81</f>
        <v>0</v>
      </c>
      <c r="T33" s="94">
        <f>+'QUOTE WORKING SHEET'!L81</f>
        <v>0</v>
      </c>
      <c r="U33" s="94">
        <f>+'QUOTE WORKING SHEET'!M81</f>
        <v>0</v>
      </c>
      <c r="V33" s="95">
        <f>+'QUOTE WORKING SHEET'!N81</f>
        <v>0</v>
      </c>
      <c r="W33" s="94">
        <f>+'QUOTE WORKING SHEET'!O81</f>
        <v>0</v>
      </c>
      <c r="X33" s="95">
        <f>+'QUOTE WORKING SHEET'!P81</f>
        <v>0</v>
      </c>
      <c r="Y33" s="94">
        <f>+'QUOTE WORKING SHEET'!Q81</f>
        <v>0</v>
      </c>
      <c r="Z33" s="95">
        <f>+'QUOTE WORKING SHEET'!R81</f>
        <v>0</v>
      </c>
      <c r="AA33" s="9"/>
      <c r="AB33" s="103"/>
      <c r="AC33" s="103"/>
      <c r="AD33" s="103"/>
    </row>
    <row r="34" spans="1:30" ht="168" customHeight="1" x14ac:dyDescent="0.25">
      <c r="A34" s="105">
        <f>+'QUOTE WORKING SHEET'!A84</f>
        <v>63</v>
      </c>
      <c r="B34" s="105" t="e">
        <f>+'QUOTE WORKING SHEET'!#REF!</f>
        <v>#REF!</v>
      </c>
      <c r="C34" s="105">
        <f>+'QUOTE WORKING SHEET'!B84</f>
        <v>0</v>
      </c>
      <c r="D34" s="105" t="e">
        <f>+'QUOTE WORKING SHEET'!#REF!</f>
        <v>#REF!</v>
      </c>
      <c r="E34" s="105" t="e">
        <f>+'QUOTE WORKING SHEET'!#REF!</f>
        <v>#REF!</v>
      </c>
      <c r="F34" s="105" t="e">
        <f>+'QUOTE WORKING SHEET'!#REF!</f>
        <v>#REF!</v>
      </c>
      <c r="G34" s="105">
        <f>+'QUOTE WORKING SHEET'!C82</f>
        <v>0</v>
      </c>
      <c r="H34" s="105">
        <f>+'QUOTE WORKING SHEET'!D82</f>
        <v>0</v>
      </c>
      <c r="I34" s="105">
        <f>+'QUOTE WORKING SHEET'!E82</f>
        <v>0</v>
      </c>
      <c r="J34" s="105">
        <f>+'QUOTE WORKING SHEET'!F82</f>
        <v>0</v>
      </c>
      <c r="K34" s="105" t="e">
        <f>+'QUOTE WORKING SHEET'!#REF!</f>
        <v>#REF!</v>
      </c>
      <c r="L34" s="105">
        <f>+'QUOTE WORKING SHEET'!G82</f>
        <v>0</v>
      </c>
      <c r="M34" s="105">
        <f>+'QUOTE WORKING SHEET'!H82</f>
        <v>0</v>
      </c>
      <c r="N34" s="105">
        <f>+'QUOTE WORKING SHEET'!I82</f>
        <v>0</v>
      </c>
      <c r="O34" s="105">
        <f>+'QUOTE WORKING SHEET'!J82</f>
        <v>0</v>
      </c>
      <c r="P34" s="105" t="e">
        <f>+'QUOTE WORKING SHEET'!#REF!</f>
        <v>#REF!</v>
      </c>
      <c r="Q34" s="105" t="e">
        <f>+'QUOTE WORKING SHEET'!#REF!</f>
        <v>#REF!</v>
      </c>
      <c r="R34" s="105" t="e">
        <f>+'QUOTE WORKING SHEET'!#REF!</f>
        <v>#REF!</v>
      </c>
      <c r="S34" s="94">
        <f>+'QUOTE WORKING SHEET'!K82</f>
        <v>0</v>
      </c>
      <c r="T34" s="94">
        <f>+'QUOTE WORKING SHEET'!L82</f>
        <v>0</v>
      </c>
      <c r="U34" s="94">
        <f>+'QUOTE WORKING SHEET'!M82</f>
        <v>0</v>
      </c>
      <c r="V34" s="95">
        <f>+'QUOTE WORKING SHEET'!N82</f>
        <v>0</v>
      </c>
      <c r="W34" s="94">
        <f>+'QUOTE WORKING SHEET'!O82</f>
        <v>0</v>
      </c>
      <c r="X34" s="95">
        <f>+'QUOTE WORKING SHEET'!P82</f>
        <v>0</v>
      </c>
      <c r="Y34" s="94">
        <f>+'QUOTE WORKING SHEET'!Q82</f>
        <v>0</v>
      </c>
      <c r="Z34" s="95">
        <f>+'QUOTE WORKING SHEET'!R82</f>
        <v>0</v>
      </c>
      <c r="AA34" s="9"/>
      <c r="AB34" s="103"/>
      <c r="AC34" s="103"/>
      <c r="AD34" s="103"/>
    </row>
    <row r="35" spans="1:30" ht="168" customHeight="1" x14ac:dyDescent="0.25">
      <c r="A35" s="105">
        <f>+'QUOTE WORKING SHEET'!A85</f>
        <v>64</v>
      </c>
      <c r="B35" s="105" t="e">
        <f>+'QUOTE WORKING SHEET'!#REF!</f>
        <v>#REF!</v>
      </c>
      <c r="C35" s="105">
        <f>+'QUOTE WORKING SHEET'!B85</f>
        <v>0</v>
      </c>
      <c r="D35" s="105" t="e">
        <f>+'QUOTE WORKING SHEET'!#REF!</f>
        <v>#REF!</v>
      </c>
      <c r="E35" s="105" t="e">
        <f>+'QUOTE WORKING SHEET'!#REF!</f>
        <v>#REF!</v>
      </c>
      <c r="F35" s="105" t="e">
        <f>+'QUOTE WORKING SHEET'!#REF!</f>
        <v>#REF!</v>
      </c>
      <c r="G35" s="105">
        <f>+'QUOTE WORKING SHEET'!C83</f>
        <v>0</v>
      </c>
      <c r="H35" s="105">
        <f>+'QUOTE WORKING SHEET'!D83</f>
        <v>0</v>
      </c>
      <c r="I35" s="105">
        <f>+'QUOTE WORKING SHEET'!E83</f>
        <v>0</v>
      </c>
      <c r="J35" s="105">
        <f>+'QUOTE WORKING SHEET'!F83</f>
        <v>0</v>
      </c>
      <c r="K35" s="105" t="e">
        <f>+'QUOTE WORKING SHEET'!#REF!</f>
        <v>#REF!</v>
      </c>
      <c r="L35" s="105">
        <f>+'QUOTE WORKING SHEET'!G83</f>
        <v>0</v>
      </c>
      <c r="M35" s="105">
        <f>+'QUOTE WORKING SHEET'!H83</f>
        <v>0</v>
      </c>
      <c r="N35" s="105">
        <f>+'QUOTE WORKING SHEET'!I83</f>
        <v>0</v>
      </c>
      <c r="O35" s="105">
        <f>+'QUOTE WORKING SHEET'!J83</f>
        <v>0</v>
      </c>
      <c r="P35" s="105" t="e">
        <f>+'QUOTE WORKING SHEET'!#REF!</f>
        <v>#REF!</v>
      </c>
      <c r="Q35" s="105" t="e">
        <f>+'QUOTE WORKING SHEET'!#REF!</f>
        <v>#REF!</v>
      </c>
      <c r="R35" s="105" t="e">
        <f>+'QUOTE WORKING SHEET'!#REF!</f>
        <v>#REF!</v>
      </c>
      <c r="S35" s="94">
        <f>+'QUOTE WORKING SHEET'!K83</f>
        <v>0</v>
      </c>
      <c r="T35" s="94">
        <f>+'QUOTE WORKING SHEET'!L83</f>
        <v>0</v>
      </c>
      <c r="U35" s="94">
        <f>+'QUOTE WORKING SHEET'!M83</f>
        <v>0</v>
      </c>
      <c r="V35" s="95">
        <f>+'QUOTE WORKING SHEET'!N83</f>
        <v>0</v>
      </c>
      <c r="W35" s="94">
        <f>+'QUOTE WORKING SHEET'!O83</f>
        <v>0</v>
      </c>
      <c r="X35" s="95">
        <f>+'QUOTE WORKING SHEET'!P83</f>
        <v>0</v>
      </c>
      <c r="Y35" s="94">
        <f>+'QUOTE WORKING SHEET'!Q83</f>
        <v>0</v>
      </c>
      <c r="Z35" s="95">
        <f>+'QUOTE WORKING SHEET'!R83</f>
        <v>0</v>
      </c>
      <c r="AA35" s="9"/>
      <c r="AB35" s="103"/>
      <c r="AC35" s="103"/>
      <c r="AD35" s="103"/>
    </row>
    <row r="36" spans="1:30" ht="168" customHeight="1" x14ac:dyDescent="0.25">
      <c r="A36" s="105">
        <f>+'QUOTE WORKING SHEET'!A86</f>
        <v>65</v>
      </c>
      <c r="B36" s="105" t="e">
        <f>+'QUOTE WORKING SHEET'!#REF!</f>
        <v>#REF!</v>
      </c>
      <c r="C36" s="105">
        <f>+'QUOTE WORKING SHEET'!B86</f>
        <v>0</v>
      </c>
      <c r="D36" s="105" t="e">
        <f>+'QUOTE WORKING SHEET'!#REF!</f>
        <v>#REF!</v>
      </c>
      <c r="E36" s="105" t="e">
        <f>+'QUOTE WORKING SHEET'!#REF!</f>
        <v>#REF!</v>
      </c>
      <c r="F36" s="105" t="e">
        <f>+'QUOTE WORKING SHEET'!#REF!</f>
        <v>#REF!</v>
      </c>
      <c r="G36" s="105">
        <f>+'QUOTE WORKING SHEET'!C84</f>
        <v>0</v>
      </c>
      <c r="H36" s="105">
        <f>+'QUOTE WORKING SHEET'!D84</f>
        <v>0</v>
      </c>
      <c r="I36" s="105">
        <f>+'QUOTE WORKING SHEET'!E84</f>
        <v>0</v>
      </c>
      <c r="J36" s="105">
        <f>+'QUOTE WORKING SHEET'!F84</f>
        <v>0</v>
      </c>
      <c r="K36" s="105" t="e">
        <f>+'QUOTE WORKING SHEET'!#REF!</f>
        <v>#REF!</v>
      </c>
      <c r="L36" s="105">
        <f>+'QUOTE WORKING SHEET'!G84</f>
        <v>0</v>
      </c>
      <c r="M36" s="105">
        <f>+'QUOTE WORKING SHEET'!H84</f>
        <v>0</v>
      </c>
      <c r="N36" s="105">
        <f>+'QUOTE WORKING SHEET'!I84</f>
        <v>0</v>
      </c>
      <c r="O36" s="105">
        <f>+'QUOTE WORKING SHEET'!J84</f>
        <v>0</v>
      </c>
      <c r="P36" s="105" t="e">
        <f>+'QUOTE WORKING SHEET'!#REF!</f>
        <v>#REF!</v>
      </c>
      <c r="Q36" s="105" t="e">
        <f>+'QUOTE WORKING SHEET'!#REF!</f>
        <v>#REF!</v>
      </c>
      <c r="R36" s="105" t="e">
        <f>+'QUOTE WORKING SHEET'!#REF!</f>
        <v>#REF!</v>
      </c>
      <c r="S36" s="94">
        <f>+'QUOTE WORKING SHEET'!K84</f>
        <v>0</v>
      </c>
      <c r="T36" s="94">
        <f>+'QUOTE WORKING SHEET'!L84</f>
        <v>0</v>
      </c>
      <c r="U36" s="94">
        <f>+'QUOTE WORKING SHEET'!M84</f>
        <v>0</v>
      </c>
      <c r="V36" s="95">
        <f>+'QUOTE WORKING SHEET'!N84</f>
        <v>0</v>
      </c>
      <c r="W36" s="94">
        <f>+'QUOTE WORKING SHEET'!O84</f>
        <v>0</v>
      </c>
      <c r="X36" s="95">
        <f>+'QUOTE WORKING SHEET'!P84</f>
        <v>0</v>
      </c>
      <c r="Y36" s="94">
        <f>+'QUOTE WORKING SHEET'!Q84</f>
        <v>0</v>
      </c>
      <c r="Z36" s="95">
        <f>+'QUOTE WORKING SHEET'!R84</f>
        <v>0</v>
      </c>
      <c r="AA36" s="9"/>
      <c r="AB36" s="103"/>
      <c r="AC36" s="103"/>
      <c r="AD36" s="103"/>
    </row>
    <row r="37" spans="1:30" ht="168" customHeight="1" x14ac:dyDescent="0.25">
      <c r="A37" s="105">
        <f>+'QUOTE WORKING SHEET'!A87</f>
        <v>66</v>
      </c>
      <c r="B37" s="105" t="e">
        <f>+'QUOTE WORKING SHEET'!#REF!</f>
        <v>#REF!</v>
      </c>
      <c r="C37" s="105">
        <f>+'QUOTE WORKING SHEET'!B87</f>
        <v>0</v>
      </c>
      <c r="D37" s="105" t="e">
        <f>+'QUOTE WORKING SHEET'!#REF!</f>
        <v>#REF!</v>
      </c>
      <c r="E37" s="105" t="e">
        <f>+'QUOTE WORKING SHEET'!#REF!</f>
        <v>#REF!</v>
      </c>
      <c r="F37" s="105" t="e">
        <f>+'QUOTE WORKING SHEET'!#REF!</f>
        <v>#REF!</v>
      </c>
      <c r="G37" s="105">
        <f>+'QUOTE WORKING SHEET'!C85</f>
        <v>0</v>
      </c>
      <c r="H37" s="105">
        <f>+'QUOTE WORKING SHEET'!D85</f>
        <v>0</v>
      </c>
      <c r="I37" s="105">
        <f>+'QUOTE WORKING SHEET'!E85</f>
        <v>0</v>
      </c>
      <c r="J37" s="105">
        <f>+'QUOTE WORKING SHEET'!F85</f>
        <v>0</v>
      </c>
      <c r="K37" s="105" t="e">
        <f>+'QUOTE WORKING SHEET'!#REF!</f>
        <v>#REF!</v>
      </c>
      <c r="L37" s="105">
        <f>+'QUOTE WORKING SHEET'!G85</f>
        <v>0</v>
      </c>
      <c r="M37" s="105">
        <f>+'QUOTE WORKING SHEET'!H85</f>
        <v>0</v>
      </c>
      <c r="N37" s="105">
        <f>+'QUOTE WORKING SHEET'!I85</f>
        <v>0</v>
      </c>
      <c r="O37" s="105">
        <f>+'QUOTE WORKING SHEET'!J85</f>
        <v>0</v>
      </c>
      <c r="P37" s="105" t="e">
        <f>+'QUOTE WORKING SHEET'!#REF!</f>
        <v>#REF!</v>
      </c>
      <c r="Q37" s="105" t="e">
        <f>+'QUOTE WORKING SHEET'!#REF!</f>
        <v>#REF!</v>
      </c>
      <c r="R37" s="105" t="e">
        <f>+'QUOTE WORKING SHEET'!#REF!</f>
        <v>#REF!</v>
      </c>
      <c r="S37" s="94">
        <f>+'QUOTE WORKING SHEET'!K85</f>
        <v>0</v>
      </c>
      <c r="T37" s="94">
        <f>+'QUOTE WORKING SHEET'!L85</f>
        <v>0</v>
      </c>
      <c r="U37" s="94">
        <f>+'QUOTE WORKING SHEET'!M85</f>
        <v>0</v>
      </c>
      <c r="V37" s="95">
        <f>+'QUOTE WORKING SHEET'!N85</f>
        <v>0</v>
      </c>
      <c r="W37" s="94">
        <f>+'QUOTE WORKING SHEET'!O85</f>
        <v>0</v>
      </c>
      <c r="X37" s="95">
        <f>+'QUOTE WORKING SHEET'!P85</f>
        <v>0</v>
      </c>
      <c r="Y37" s="94">
        <f>+'QUOTE WORKING SHEET'!Q85</f>
        <v>0</v>
      </c>
      <c r="Z37" s="95">
        <f>+'QUOTE WORKING SHEET'!R85</f>
        <v>0</v>
      </c>
      <c r="AA37" s="9"/>
      <c r="AB37" s="103"/>
      <c r="AC37" s="103"/>
      <c r="AD37" s="103"/>
    </row>
    <row r="38" spans="1:30" ht="168" customHeight="1" x14ac:dyDescent="0.25">
      <c r="A38" s="105">
        <f>+'QUOTE WORKING SHEET'!A88</f>
        <v>67</v>
      </c>
      <c r="B38" s="105" t="e">
        <f>+'QUOTE WORKING SHEET'!#REF!</f>
        <v>#REF!</v>
      </c>
      <c r="C38" s="105">
        <f>+'QUOTE WORKING SHEET'!B88</f>
        <v>0</v>
      </c>
      <c r="D38" s="105" t="e">
        <f>+'QUOTE WORKING SHEET'!#REF!</f>
        <v>#REF!</v>
      </c>
      <c r="E38" s="105" t="e">
        <f>+'QUOTE WORKING SHEET'!#REF!</f>
        <v>#REF!</v>
      </c>
      <c r="F38" s="105" t="e">
        <f>+'QUOTE WORKING SHEET'!#REF!</f>
        <v>#REF!</v>
      </c>
      <c r="G38" s="105">
        <f>+'QUOTE WORKING SHEET'!C86</f>
        <v>0</v>
      </c>
      <c r="H38" s="105">
        <f>+'QUOTE WORKING SHEET'!D86</f>
        <v>0</v>
      </c>
      <c r="I38" s="105">
        <f>+'QUOTE WORKING SHEET'!E86</f>
        <v>0</v>
      </c>
      <c r="J38" s="105">
        <f>+'QUOTE WORKING SHEET'!F86</f>
        <v>0</v>
      </c>
      <c r="K38" s="105" t="e">
        <f>+'QUOTE WORKING SHEET'!#REF!</f>
        <v>#REF!</v>
      </c>
      <c r="L38" s="105">
        <f>+'QUOTE WORKING SHEET'!G86</f>
        <v>0</v>
      </c>
      <c r="M38" s="105">
        <f>+'QUOTE WORKING SHEET'!H86</f>
        <v>0</v>
      </c>
      <c r="N38" s="105">
        <f>+'QUOTE WORKING SHEET'!I86</f>
        <v>0</v>
      </c>
      <c r="O38" s="105">
        <f>+'QUOTE WORKING SHEET'!J86</f>
        <v>0</v>
      </c>
      <c r="P38" s="105" t="e">
        <f>+'QUOTE WORKING SHEET'!#REF!</f>
        <v>#REF!</v>
      </c>
      <c r="Q38" s="105" t="e">
        <f>+'QUOTE WORKING SHEET'!#REF!</f>
        <v>#REF!</v>
      </c>
      <c r="R38" s="105" t="e">
        <f>+'QUOTE WORKING SHEET'!#REF!</f>
        <v>#REF!</v>
      </c>
      <c r="S38" s="94">
        <f>+'QUOTE WORKING SHEET'!K86</f>
        <v>0</v>
      </c>
      <c r="T38" s="94">
        <f>+'QUOTE WORKING SHEET'!L86</f>
        <v>0</v>
      </c>
      <c r="U38" s="94">
        <f>+'QUOTE WORKING SHEET'!M86</f>
        <v>0</v>
      </c>
      <c r="V38" s="95">
        <f>+'QUOTE WORKING SHEET'!N86</f>
        <v>0</v>
      </c>
      <c r="W38" s="94">
        <f>+'QUOTE WORKING SHEET'!O86</f>
        <v>0</v>
      </c>
      <c r="X38" s="95">
        <f>+'QUOTE WORKING SHEET'!P86</f>
        <v>0</v>
      </c>
      <c r="Y38" s="94">
        <f>+'QUOTE WORKING SHEET'!Q86</f>
        <v>0</v>
      </c>
      <c r="Z38" s="95">
        <f>+'QUOTE WORKING SHEET'!R86</f>
        <v>0</v>
      </c>
      <c r="AA38" s="9"/>
      <c r="AB38" s="103"/>
      <c r="AC38" s="103"/>
      <c r="AD38" s="103"/>
    </row>
    <row r="39" spans="1:30" ht="168" customHeight="1" x14ac:dyDescent="0.25">
      <c r="A39" s="105">
        <f>+'QUOTE WORKING SHEET'!A89</f>
        <v>68</v>
      </c>
      <c r="B39" s="105" t="e">
        <f>+'QUOTE WORKING SHEET'!#REF!</f>
        <v>#REF!</v>
      </c>
      <c r="C39" s="105">
        <f>+'QUOTE WORKING SHEET'!B89</f>
        <v>0</v>
      </c>
      <c r="D39" s="105" t="e">
        <f>+'QUOTE WORKING SHEET'!#REF!</f>
        <v>#REF!</v>
      </c>
      <c r="E39" s="105" t="e">
        <f>+'QUOTE WORKING SHEET'!#REF!</f>
        <v>#REF!</v>
      </c>
      <c r="F39" s="105" t="e">
        <f>+'QUOTE WORKING SHEET'!#REF!</f>
        <v>#REF!</v>
      </c>
      <c r="G39" s="105">
        <f>+'QUOTE WORKING SHEET'!C87</f>
        <v>0</v>
      </c>
      <c r="H39" s="105">
        <f>+'QUOTE WORKING SHEET'!D87</f>
        <v>0</v>
      </c>
      <c r="I39" s="105">
        <f>+'QUOTE WORKING SHEET'!E87</f>
        <v>0</v>
      </c>
      <c r="J39" s="105">
        <f>+'QUOTE WORKING SHEET'!F87</f>
        <v>0</v>
      </c>
      <c r="K39" s="105" t="e">
        <f>+'QUOTE WORKING SHEET'!#REF!</f>
        <v>#REF!</v>
      </c>
      <c r="L39" s="105">
        <f>+'QUOTE WORKING SHEET'!G87</f>
        <v>0</v>
      </c>
      <c r="M39" s="105">
        <f>+'QUOTE WORKING SHEET'!H87</f>
        <v>0</v>
      </c>
      <c r="N39" s="105">
        <f>+'QUOTE WORKING SHEET'!I87</f>
        <v>0</v>
      </c>
      <c r="O39" s="105">
        <f>+'QUOTE WORKING SHEET'!J87</f>
        <v>0</v>
      </c>
      <c r="P39" s="105" t="e">
        <f>+'QUOTE WORKING SHEET'!#REF!</f>
        <v>#REF!</v>
      </c>
      <c r="Q39" s="105" t="e">
        <f>+'QUOTE WORKING SHEET'!#REF!</f>
        <v>#REF!</v>
      </c>
      <c r="R39" s="105" t="e">
        <f>+'QUOTE WORKING SHEET'!#REF!</f>
        <v>#REF!</v>
      </c>
      <c r="S39" s="94">
        <f>+'QUOTE WORKING SHEET'!K87</f>
        <v>0</v>
      </c>
      <c r="T39" s="94">
        <f>+'QUOTE WORKING SHEET'!L87</f>
        <v>0</v>
      </c>
      <c r="U39" s="94">
        <f>+'QUOTE WORKING SHEET'!M87</f>
        <v>0</v>
      </c>
      <c r="V39" s="95">
        <f>+'QUOTE WORKING SHEET'!N87</f>
        <v>0</v>
      </c>
      <c r="W39" s="94">
        <f>+'QUOTE WORKING SHEET'!O87</f>
        <v>0</v>
      </c>
      <c r="X39" s="95">
        <f>+'QUOTE WORKING SHEET'!P87</f>
        <v>0</v>
      </c>
      <c r="Y39" s="94">
        <f>+'QUOTE WORKING SHEET'!Q87</f>
        <v>0</v>
      </c>
      <c r="Z39" s="95">
        <f>+'QUOTE WORKING SHEET'!R87</f>
        <v>0</v>
      </c>
      <c r="AA39" s="9"/>
      <c r="AB39" s="103"/>
      <c r="AC39" s="103"/>
      <c r="AD39" s="103"/>
    </row>
    <row r="40" spans="1:30" ht="168" customHeight="1" x14ac:dyDescent="0.25">
      <c r="A40" s="105">
        <f>+'QUOTE WORKING SHEET'!A90</f>
        <v>69</v>
      </c>
      <c r="B40" s="105" t="e">
        <f>+'QUOTE WORKING SHEET'!#REF!</f>
        <v>#REF!</v>
      </c>
      <c r="C40" s="105">
        <f>+'QUOTE WORKING SHEET'!B90</f>
        <v>0</v>
      </c>
      <c r="D40" s="105" t="e">
        <f>+'QUOTE WORKING SHEET'!#REF!</f>
        <v>#REF!</v>
      </c>
      <c r="E40" s="105" t="e">
        <f>+'QUOTE WORKING SHEET'!#REF!</f>
        <v>#REF!</v>
      </c>
      <c r="F40" s="105" t="e">
        <f>+'QUOTE WORKING SHEET'!#REF!</f>
        <v>#REF!</v>
      </c>
      <c r="G40" s="105">
        <f>+'QUOTE WORKING SHEET'!C88</f>
        <v>0</v>
      </c>
      <c r="H40" s="105">
        <f>+'QUOTE WORKING SHEET'!D88</f>
        <v>0</v>
      </c>
      <c r="I40" s="105">
        <f>+'QUOTE WORKING SHEET'!E88</f>
        <v>0</v>
      </c>
      <c r="J40" s="105">
        <f>+'QUOTE WORKING SHEET'!F88</f>
        <v>0</v>
      </c>
      <c r="K40" s="105" t="e">
        <f>+'QUOTE WORKING SHEET'!#REF!</f>
        <v>#REF!</v>
      </c>
      <c r="L40" s="105">
        <f>+'QUOTE WORKING SHEET'!G88</f>
        <v>0</v>
      </c>
      <c r="M40" s="105">
        <f>+'QUOTE WORKING SHEET'!H88</f>
        <v>0</v>
      </c>
      <c r="N40" s="105">
        <f>+'QUOTE WORKING SHEET'!I88</f>
        <v>0</v>
      </c>
      <c r="O40" s="105">
        <f>+'QUOTE WORKING SHEET'!J88</f>
        <v>0</v>
      </c>
      <c r="P40" s="105" t="e">
        <f>+'QUOTE WORKING SHEET'!#REF!</f>
        <v>#REF!</v>
      </c>
      <c r="Q40" s="105" t="e">
        <f>+'QUOTE WORKING SHEET'!#REF!</f>
        <v>#REF!</v>
      </c>
      <c r="R40" s="105" t="e">
        <f>+'QUOTE WORKING SHEET'!#REF!</f>
        <v>#REF!</v>
      </c>
      <c r="S40" s="94">
        <f>+'QUOTE WORKING SHEET'!K88</f>
        <v>0</v>
      </c>
      <c r="T40" s="94">
        <f>+'QUOTE WORKING SHEET'!L88</f>
        <v>0</v>
      </c>
      <c r="U40" s="94">
        <f>+'QUOTE WORKING SHEET'!M88</f>
        <v>0</v>
      </c>
      <c r="V40" s="95">
        <f>+'QUOTE WORKING SHEET'!N88</f>
        <v>0</v>
      </c>
      <c r="W40" s="94">
        <f>+'QUOTE WORKING SHEET'!O88</f>
        <v>0</v>
      </c>
      <c r="X40" s="95">
        <f>+'QUOTE WORKING SHEET'!P88</f>
        <v>0</v>
      </c>
      <c r="Y40" s="94">
        <f>+'QUOTE WORKING SHEET'!Q88</f>
        <v>0</v>
      </c>
      <c r="Z40" s="95">
        <f>+'QUOTE WORKING SHEET'!R88</f>
        <v>0</v>
      </c>
      <c r="AA40" s="9"/>
      <c r="AB40" s="103"/>
      <c r="AC40" s="103"/>
      <c r="AD40" s="103"/>
    </row>
    <row r="41" spans="1:30" ht="168" customHeight="1" x14ac:dyDescent="0.25">
      <c r="A41" s="105">
        <f>+'QUOTE WORKING SHEET'!A91</f>
        <v>70</v>
      </c>
      <c r="B41" s="105" t="e">
        <f>+'QUOTE WORKING SHEET'!#REF!</f>
        <v>#REF!</v>
      </c>
      <c r="C41" s="105">
        <f>+'QUOTE WORKING SHEET'!B91</f>
        <v>0</v>
      </c>
      <c r="D41" s="105" t="e">
        <f>+'QUOTE WORKING SHEET'!#REF!</f>
        <v>#REF!</v>
      </c>
      <c r="E41" s="105" t="e">
        <f>+'QUOTE WORKING SHEET'!#REF!</f>
        <v>#REF!</v>
      </c>
      <c r="F41" s="105" t="e">
        <f>+'QUOTE WORKING SHEET'!#REF!</f>
        <v>#REF!</v>
      </c>
      <c r="G41" s="105">
        <f>+'QUOTE WORKING SHEET'!C89</f>
        <v>0</v>
      </c>
      <c r="H41" s="105">
        <f>+'QUOTE WORKING SHEET'!D89</f>
        <v>0</v>
      </c>
      <c r="I41" s="105">
        <f>+'QUOTE WORKING SHEET'!E89</f>
        <v>0</v>
      </c>
      <c r="J41" s="105">
        <f>+'QUOTE WORKING SHEET'!F89</f>
        <v>0</v>
      </c>
      <c r="K41" s="105" t="e">
        <f>+'QUOTE WORKING SHEET'!#REF!</f>
        <v>#REF!</v>
      </c>
      <c r="L41" s="105">
        <f>+'QUOTE WORKING SHEET'!G89</f>
        <v>0</v>
      </c>
      <c r="M41" s="105">
        <f>+'QUOTE WORKING SHEET'!H89</f>
        <v>0</v>
      </c>
      <c r="N41" s="105">
        <f>+'QUOTE WORKING SHEET'!I89</f>
        <v>0</v>
      </c>
      <c r="O41" s="105">
        <f>+'QUOTE WORKING SHEET'!J89</f>
        <v>0</v>
      </c>
      <c r="P41" s="105" t="e">
        <f>+'QUOTE WORKING SHEET'!#REF!</f>
        <v>#REF!</v>
      </c>
      <c r="Q41" s="105" t="e">
        <f>+'QUOTE WORKING SHEET'!#REF!</f>
        <v>#REF!</v>
      </c>
      <c r="R41" s="105" t="e">
        <f>+'QUOTE WORKING SHEET'!#REF!</f>
        <v>#REF!</v>
      </c>
      <c r="S41" s="94">
        <f>+'QUOTE WORKING SHEET'!K89</f>
        <v>0</v>
      </c>
      <c r="T41" s="94">
        <f>+'QUOTE WORKING SHEET'!L89</f>
        <v>0</v>
      </c>
      <c r="U41" s="94">
        <f>+'QUOTE WORKING SHEET'!M89</f>
        <v>0</v>
      </c>
      <c r="V41" s="95">
        <f>+'QUOTE WORKING SHEET'!N89</f>
        <v>0</v>
      </c>
      <c r="W41" s="94">
        <f>+'QUOTE WORKING SHEET'!O89</f>
        <v>0</v>
      </c>
      <c r="X41" s="95">
        <f>+'QUOTE WORKING SHEET'!P89</f>
        <v>0</v>
      </c>
      <c r="Y41" s="94">
        <f>+'QUOTE WORKING SHEET'!Q89</f>
        <v>0</v>
      </c>
      <c r="Z41" s="95">
        <f>+'QUOTE WORKING SHEET'!R89</f>
        <v>0</v>
      </c>
      <c r="AA41" s="9"/>
      <c r="AB41" s="103"/>
      <c r="AC41" s="103"/>
      <c r="AD41" s="103"/>
    </row>
    <row r="42" spans="1:30" ht="168" customHeight="1" x14ac:dyDescent="0.25">
      <c r="A42" s="105">
        <f>+'QUOTE WORKING SHEET'!A92</f>
        <v>71</v>
      </c>
      <c r="B42" s="105" t="e">
        <f>+'QUOTE WORKING SHEET'!#REF!</f>
        <v>#REF!</v>
      </c>
      <c r="C42" s="105">
        <f>+'QUOTE WORKING SHEET'!B92</f>
        <v>0</v>
      </c>
      <c r="D42" s="105" t="e">
        <f>+'QUOTE WORKING SHEET'!#REF!</f>
        <v>#REF!</v>
      </c>
      <c r="E42" s="105" t="e">
        <f>+'QUOTE WORKING SHEET'!#REF!</f>
        <v>#REF!</v>
      </c>
      <c r="F42" s="105" t="e">
        <f>+'QUOTE WORKING SHEET'!#REF!</f>
        <v>#REF!</v>
      </c>
      <c r="G42" s="105">
        <f>+'QUOTE WORKING SHEET'!C90</f>
        <v>0</v>
      </c>
      <c r="H42" s="105">
        <f>+'QUOTE WORKING SHEET'!D90</f>
        <v>0</v>
      </c>
      <c r="I42" s="105">
        <f>+'QUOTE WORKING SHEET'!E90</f>
        <v>0</v>
      </c>
      <c r="J42" s="105">
        <f>+'QUOTE WORKING SHEET'!F90</f>
        <v>0</v>
      </c>
      <c r="K42" s="105" t="e">
        <f>+'QUOTE WORKING SHEET'!#REF!</f>
        <v>#REF!</v>
      </c>
      <c r="L42" s="105">
        <f>+'QUOTE WORKING SHEET'!G90</f>
        <v>0</v>
      </c>
      <c r="M42" s="105">
        <f>+'QUOTE WORKING SHEET'!H90</f>
        <v>0</v>
      </c>
      <c r="N42" s="105">
        <f>+'QUOTE WORKING SHEET'!I90</f>
        <v>0</v>
      </c>
      <c r="O42" s="105">
        <f>+'QUOTE WORKING SHEET'!J90</f>
        <v>0</v>
      </c>
      <c r="P42" s="105" t="e">
        <f>+'QUOTE WORKING SHEET'!#REF!</f>
        <v>#REF!</v>
      </c>
      <c r="Q42" s="105" t="e">
        <f>+'QUOTE WORKING SHEET'!#REF!</f>
        <v>#REF!</v>
      </c>
      <c r="R42" s="105" t="e">
        <f>+'QUOTE WORKING SHEET'!#REF!</f>
        <v>#REF!</v>
      </c>
      <c r="S42" s="94">
        <f>+'QUOTE WORKING SHEET'!K90</f>
        <v>0</v>
      </c>
      <c r="T42" s="94">
        <f>+'QUOTE WORKING SHEET'!L90</f>
        <v>0</v>
      </c>
      <c r="U42" s="94">
        <f>+'QUOTE WORKING SHEET'!M90</f>
        <v>0</v>
      </c>
      <c r="V42" s="95">
        <f>+'QUOTE WORKING SHEET'!N90</f>
        <v>0</v>
      </c>
      <c r="W42" s="94">
        <f>+'QUOTE WORKING SHEET'!O90</f>
        <v>0</v>
      </c>
      <c r="X42" s="95">
        <f>+'QUOTE WORKING SHEET'!P90</f>
        <v>0</v>
      </c>
      <c r="Y42" s="94">
        <f>+'QUOTE WORKING SHEET'!Q90</f>
        <v>0</v>
      </c>
      <c r="Z42" s="95">
        <f>+'QUOTE WORKING SHEET'!R90</f>
        <v>0</v>
      </c>
      <c r="AA42" s="9"/>
      <c r="AB42" s="103"/>
      <c r="AC42" s="103"/>
      <c r="AD42" s="103"/>
    </row>
    <row r="43" spans="1:30" ht="168" customHeight="1" x14ac:dyDescent="0.25">
      <c r="A43" s="105">
        <f>+'QUOTE WORKING SHEET'!A93</f>
        <v>72</v>
      </c>
      <c r="B43" s="105" t="e">
        <f>+'QUOTE WORKING SHEET'!#REF!</f>
        <v>#REF!</v>
      </c>
      <c r="C43" s="105">
        <f>+'QUOTE WORKING SHEET'!B93</f>
        <v>0</v>
      </c>
      <c r="D43" s="105" t="e">
        <f>+'QUOTE WORKING SHEET'!#REF!</f>
        <v>#REF!</v>
      </c>
      <c r="E43" s="105" t="e">
        <f>+'QUOTE WORKING SHEET'!#REF!</f>
        <v>#REF!</v>
      </c>
      <c r="F43" s="105" t="e">
        <f>+'QUOTE WORKING SHEET'!#REF!</f>
        <v>#REF!</v>
      </c>
      <c r="G43" s="105">
        <f>+'QUOTE WORKING SHEET'!C91</f>
        <v>0</v>
      </c>
      <c r="H43" s="105">
        <f>+'QUOTE WORKING SHEET'!D91</f>
        <v>0</v>
      </c>
      <c r="I43" s="105">
        <f>+'QUOTE WORKING SHEET'!E91</f>
        <v>0</v>
      </c>
      <c r="J43" s="105">
        <f>+'QUOTE WORKING SHEET'!F91</f>
        <v>0</v>
      </c>
      <c r="K43" s="105" t="e">
        <f>+'QUOTE WORKING SHEET'!#REF!</f>
        <v>#REF!</v>
      </c>
      <c r="L43" s="105">
        <f>+'QUOTE WORKING SHEET'!G91</f>
        <v>0</v>
      </c>
      <c r="M43" s="105">
        <f>+'QUOTE WORKING SHEET'!H91</f>
        <v>0</v>
      </c>
      <c r="N43" s="105">
        <f>+'QUOTE WORKING SHEET'!I91</f>
        <v>0</v>
      </c>
      <c r="O43" s="105">
        <f>+'QUOTE WORKING SHEET'!J91</f>
        <v>0</v>
      </c>
      <c r="P43" s="105" t="e">
        <f>+'QUOTE WORKING SHEET'!#REF!</f>
        <v>#REF!</v>
      </c>
      <c r="Q43" s="105" t="e">
        <f>+'QUOTE WORKING SHEET'!#REF!</f>
        <v>#REF!</v>
      </c>
      <c r="R43" s="105" t="e">
        <f>+'QUOTE WORKING SHEET'!#REF!</f>
        <v>#REF!</v>
      </c>
      <c r="S43" s="94">
        <f>+'QUOTE WORKING SHEET'!K91</f>
        <v>0</v>
      </c>
      <c r="T43" s="94">
        <f>+'QUOTE WORKING SHEET'!L91</f>
        <v>0</v>
      </c>
      <c r="U43" s="94">
        <f>+'QUOTE WORKING SHEET'!M91</f>
        <v>0</v>
      </c>
      <c r="V43" s="95">
        <f>+'QUOTE WORKING SHEET'!N91</f>
        <v>0</v>
      </c>
      <c r="W43" s="94">
        <f>+'QUOTE WORKING SHEET'!O91</f>
        <v>0</v>
      </c>
      <c r="X43" s="95">
        <f>+'QUOTE WORKING SHEET'!P91</f>
        <v>0</v>
      </c>
      <c r="Y43" s="94">
        <f>+'QUOTE WORKING SHEET'!Q91</f>
        <v>0</v>
      </c>
      <c r="Z43" s="95">
        <f>+'QUOTE WORKING SHEET'!R91</f>
        <v>0</v>
      </c>
      <c r="AA43" s="9"/>
      <c r="AB43" s="103"/>
      <c r="AC43" s="103"/>
      <c r="AD43" s="103"/>
    </row>
    <row r="44" spans="1:30" ht="168" customHeight="1" x14ac:dyDescent="0.25">
      <c r="A44" s="105">
        <f>+'QUOTE WORKING SHEET'!A94</f>
        <v>73</v>
      </c>
      <c r="B44" s="105" t="e">
        <f>+'QUOTE WORKING SHEET'!#REF!</f>
        <v>#REF!</v>
      </c>
      <c r="C44" s="105">
        <f>+'QUOTE WORKING SHEET'!B94</f>
        <v>0</v>
      </c>
      <c r="D44" s="105" t="e">
        <f>+'QUOTE WORKING SHEET'!#REF!</f>
        <v>#REF!</v>
      </c>
      <c r="E44" s="105" t="e">
        <f>+'QUOTE WORKING SHEET'!#REF!</f>
        <v>#REF!</v>
      </c>
      <c r="F44" s="105" t="e">
        <f>+'QUOTE WORKING SHEET'!#REF!</f>
        <v>#REF!</v>
      </c>
      <c r="G44" s="105">
        <f>+'QUOTE WORKING SHEET'!C92</f>
        <v>0</v>
      </c>
      <c r="H44" s="105">
        <f>+'QUOTE WORKING SHEET'!D92</f>
        <v>0</v>
      </c>
      <c r="I44" s="105">
        <f>+'QUOTE WORKING SHEET'!E92</f>
        <v>0</v>
      </c>
      <c r="J44" s="105">
        <f>+'QUOTE WORKING SHEET'!F92</f>
        <v>0</v>
      </c>
      <c r="K44" s="105" t="e">
        <f>+'QUOTE WORKING SHEET'!#REF!</f>
        <v>#REF!</v>
      </c>
      <c r="L44" s="105">
        <f>+'QUOTE WORKING SHEET'!G92</f>
        <v>0</v>
      </c>
      <c r="M44" s="105">
        <f>+'QUOTE WORKING SHEET'!H92</f>
        <v>0</v>
      </c>
      <c r="N44" s="105">
        <f>+'QUOTE WORKING SHEET'!I92</f>
        <v>0</v>
      </c>
      <c r="O44" s="105">
        <f>+'QUOTE WORKING SHEET'!J92</f>
        <v>0</v>
      </c>
      <c r="P44" s="105" t="e">
        <f>+'QUOTE WORKING SHEET'!#REF!</f>
        <v>#REF!</v>
      </c>
      <c r="Q44" s="105" t="e">
        <f>+'QUOTE WORKING SHEET'!#REF!</f>
        <v>#REF!</v>
      </c>
      <c r="R44" s="105" t="e">
        <f>+'QUOTE WORKING SHEET'!#REF!</f>
        <v>#REF!</v>
      </c>
      <c r="S44" s="94">
        <f>+'QUOTE WORKING SHEET'!K92</f>
        <v>0</v>
      </c>
      <c r="T44" s="94">
        <f>+'QUOTE WORKING SHEET'!L92</f>
        <v>0</v>
      </c>
      <c r="U44" s="94">
        <f>+'QUOTE WORKING SHEET'!M92</f>
        <v>0</v>
      </c>
      <c r="V44" s="95">
        <f>+'QUOTE WORKING SHEET'!N92</f>
        <v>0</v>
      </c>
      <c r="W44" s="94">
        <f>+'QUOTE WORKING SHEET'!O92</f>
        <v>0</v>
      </c>
      <c r="X44" s="95">
        <f>+'QUOTE WORKING SHEET'!P92</f>
        <v>0</v>
      </c>
      <c r="Y44" s="94">
        <f>+'QUOTE WORKING SHEET'!Q92</f>
        <v>0</v>
      </c>
      <c r="Z44" s="95">
        <f>+'QUOTE WORKING SHEET'!R92</f>
        <v>0</v>
      </c>
      <c r="AA44" s="9"/>
      <c r="AB44" s="103"/>
      <c r="AC44" s="103"/>
      <c r="AD44" s="103"/>
    </row>
    <row r="45" spans="1:30" ht="168" customHeight="1" x14ac:dyDescent="0.25">
      <c r="A45" s="105">
        <f>+'QUOTE WORKING SHEET'!A95</f>
        <v>74</v>
      </c>
      <c r="B45" s="105" t="e">
        <f>+'QUOTE WORKING SHEET'!#REF!</f>
        <v>#REF!</v>
      </c>
      <c r="C45" s="105">
        <f>+'QUOTE WORKING SHEET'!B95</f>
        <v>0</v>
      </c>
      <c r="D45" s="105" t="e">
        <f>+'QUOTE WORKING SHEET'!#REF!</f>
        <v>#REF!</v>
      </c>
      <c r="E45" s="105" t="e">
        <f>+'QUOTE WORKING SHEET'!#REF!</f>
        <v>#REF!</v>
      </c>
      <c r="F45" s="105" t="e">
        <f>+'QUOTE WORKING SHEET'!#REF!</f>
        <v>#REF!</v>
      </c>
      <c r="G45" s="105">
        <f>+'QUOTE WORKING SHEET'!C93</f>
        <v>0</v>
      </c>
      <c r="H45" s="105">
        <f>+'QUOTE WORKING SHEET'!D93</f>
        <v>0</v>
      </c>
      <c r="I45" s="105">
        <f>+'QUOTE WORKING SHEET'!E93</f>
        <v>0</v>
      </c>
      <c r="J45" s="105">
        <f>+'QUOTE WORKING SHEET'!F93</f>
        <v>0</v>
      </c>
      <c r="K45" s="105" t="e">
        <f>+'QUOTE WORKING SHEET'!#REF!</f>
        <v>#REF!</v>
      </c>
      <c r="L45" s="105">
        <f>+'QUOTE WORKING SHEET'!G93</f>
        <v>0</v>
      </c>
      <c r="M45" s="105">
        <f>+'QUOTE WORKING SHEET'!H93</f>
        <v>0</v>
      </c>
      <c r="N45" s="105">
        <f>+'QUOTE WORKING SHEET'!I93</f>
        <v>0</v>
      </c>
      <c r="O45" s="105">
        <f>+'QUOTE WORKING SHEET'!J93</f>
        <v>0</v>
      </c>
      <c r="P45" s="105" t="e">
        <f>+'QUOTE WORKING SHEET'!#REF!</f>
        <v>#REF!</v>
      </c>
      <c r="Q45" s="105" t="e">
        <f>+'QUOTE WORKING SHEET'!#REF!</f>
        <v>#REF!</v>
      </c>
      <c r="R45" s="105" t="e">
        <f>+'QUOTE WORKING SHEET'!#REF!</f>
        <v>#REF!</v>
      </c>
      <c r="S45" s="94">
        <f>+'QUOTE WORKING SHEET'!K93</f>
        <v>0</v>
      </c>
      <c r="T45" s="94">
        <f>+'QUOTE WORKING SHEET'!L93</f>
        <v>0</v>
      </c>
      <c r="U45" s="94">
        <f>+'QUOTE WORKING SHEET'!M93</f>
        <v>0</v>
      </c>
      <c r="V45" s="95">
        <f>+'QUOTE WORKING SHEET'!N93</f>
        <v>0</v>
      </c>
      <c r="W45" s="94">
        <f>+'QUOTE WORKING SHEET'!O93</f>
        <v>0</v>
      </c>
      <c r="X45" s="95">
        <f>+'QUOTE WORKING SHEET'!P93</f>
        <v>0</v>
      </c>
      <c r="Y45" s="94">
        <f>+'QUOTE WORKING SHEET'!Q93</f>
        <v>0</v>
      </c>
      <c r="Z45" s="95">
        <f>+'QUOTE WORKING SHEET'!R93</f>
        <v>0</v>
      </c>
      <c r="AA45" s="9"/>
      <c r="AB45" s="103"/>
      <c r="AC45" s="103"/>
      <c r="AD45" s="103"/>
    </row>
    <row r="46" spans="1:30" ht="168" customHeight="1" x14ac:dyDescent="0.25">
      <c r="A46" s="105">
        <f>+'QUOTE WORKING SHEET'!A96</f>
        <v>75</v>
      </c>
      <c r="B46" s="105" t="e">
        <f>+'QUOTE WORKING SHEET'!#REF!</f>
        <v>#REF!</v>
      </c>
      <c r="C46" s="105">
        <f>+'QUOTE WORKING SHEET'!B96</f>
        <v>0</v>
      </c>
      <c r="D46" s="105" t="e">
        <f>+'QUOTE WORKING SHEET'!#REF!</f>
        <v>#REF!</v>
      </c>
      <c r="E46" s="105" t="e">
        <f>+'QUOTE WORKING SHEET'!#REF!</f>
        <v>#REF!</v>
      </c>
      <c r="F46" s="105" t="e">
        <f>+'QUOTE WORKING SHEET'!#REF!</f>
        <v>#REF!</v>
      </c>
      <c r="G46" s="105">
        <f>+'QUOTE WORKING SHEET'!C94</f>
        <v>0</v>
      </c>
      <c r="H46" s="105">
        <f>+'QUOTE WORKING SHEET'!D94</f>
        <v>0</v>
      </c>
      <c r="I46" s="105">
        <f>+'QUOTE WORKING SHEET'!E94</f>
        <v>0</v>
      </c>
      <c r="J46" s="105">
        <f>+'QUOTE WORKING SHEET'!F94</f>
        <v>0</v>
      </c>
      <c r="K46" s="105" t="e">
        <f>+'QUOTE WORKING SHEET'!#REF!</f>
        <v>#REF!</v>
      </c>
      <c r="L46" s="105">
        <f>+'QUOTE WORKING SHEET'!G94</f>
        <v>0</v>
      </c>
      <c r="M46" s="105">
        <f>+'QUOTE WORKING SHEET'!H94</f>
        <v>0</v>
      </c>
      <c r="N46" s="105">
        <f>+'QUOTE WORKING SHEET'!I94</f>
        <v>0</v>
      </c>
      <c r="O46" s="105">
        <f>+'QUOTE WORKING SHEET'!J94</f>
        <v>0</v>
      </c>
      <c r="P46" s="105" t="e">
        <f>+'QUOTE WORKING SHEET'!#REF!</f>
        <v>#REF!</v>
      </c>
      <c r="Q46" s="105" t="e">
        <f>+'QUOTE WORKING SHEET'!#REF!</f>
        <v>#REF!</v>
      </c>
      <c r="R46" s="105" t="e">
        <f>+'QUOTE WORKING SHEET'!#REF!</f>
        <v>#REF!</v>
      </c>
      <c r="S46" s="94">
        <f>+'QUOTE WORKING SHEET'!K94</f>
        <v>0</v>
      </c>
      <c r="T46" s="94">
        <f>+'QUOTE WORKING SHEET'!L94</f>
        <v>0</v>
      </c>
      <c r="U46" s="94">
        <f>+'QUOTE WORKING SHEET'!M94</f>
        <v>0</v>
      </c>
      <c r="V46" s="95">
        <f>+'QUOTE WORKING SHEET'!N94</f>
        <v>0</v>
      </c>
      <c r="W46" s="94">
        <f>+'QUOTE WORKING SHEET'!O94</f>
        <v>0</v>
      </c>
      <c r="X46" s="95">
        <f>+'QUOTE WORKING SHEET'!P94</f>
        <v>0</v>
      </c>
      <c r="Y46" s="94">
        <f>+'QUOTE WORKING SHEET'!Q94</f>
        <v>0</v>
      </c>
      <c r="Z46" s="95">
        <f>+'QUOTE WORKING SHEET'!R94</f>
        <v>0</v>
      </c>
      <c r="AA46" s="9"/>
      <c r="AB46" s="103"/>
      <c r="AC46" s="103"/>
      <c r="AD46" s="103"/>
    </row>
    <row r="47" spans="1:30" ht="168" customHeight="1" x14ac:dyDescent="0.25">
      <c r="A47" s="105">
        <f>+'QUOTE WORKING SHEET'!A97</f>
        <v>76</v>
      </c>
      <c r="B47" s="105" t="e">
        <f>+'QUOTE WORKING SHEET'!#REF!</f>
        <v>#REF!</v>
      </c>
      <c r="C47" s="105">
        <f>+'QUOTE WORKING SHEET'!B97</f>
        <v>0</v>
      </c>
      <c r="D47" s="105" t="e">
        <f>+'QUOTE WORKING SHEET'!#REF!</f>
        <v>#REF!</v>
      </c>
      <c r="E47" s="105" t="e">
        <f>+'QUOTE WORKING SHEET'!#REF!</f>
        <v>#REF!</v>
      </c>
      <c r="F47" s="105" t="e">
        <f>+'QUOTE WORKING SHEET'!#REF!</f>
        <v>#REF!</v>
      </c>
      <c r="G47" s="105">
        <f>+'QUOTE WORKING SHEET'!C95</f>
        <v>0</v>
      </c>
      <c r="H47" s="105">
        <f>+'QUOTE WORKING SHEET'!D95</f>
        <v>0</v>
      </c>
      <c r="I47" s="105">
        <f>+'QUOTE WORKING SHEET'!E95</f>
        <v>0</v>
      </c>
      <c r="J47" s="105">
        <f>+'QUOTE WORKING SHEET'!F95</f>
        <v>0</v>
      </c>
      <c r="K47" s="105" t="e">
        <f>+'QUOTE WORKING SHEET'!#REF!</f>
        <v>#REF!</v>
      </c>
      <c r="L47" s="105">
        <f>+'QUOTE WORKING SHEET'!G95</f>
        <v>0</v>
      </c>
      <c r="M47" s="105">
        <f>+'QUOTE WORKING SHEET'!H95</f>
        <v>0</v>
      </c>
      <c r="N47" s="105">
        <f>+'QUOTE WORKING SHEET'!I95</f>
        <v>0</v>
      </c>
      <c r="O47" s="105">
        <f>+'QUOTE WORKING SHEET'!J95</f>
        <v>0</v>
      </c>
      <c r="P47" s="105" t="e">
        <f>+'QUOTE WORKING SHEET'!#REF!</f>
        <v>#REF!</v>
      </c>
      <c r="Q47" s="105" t="e">
        <f>+'QUOTE WORKING SHEET'!#REF!</f>
        <v>#REF!</v>
      </c>
      <c r="R47" s="105" t="e">
        <f>+'QUOTE WORKING SHEET'!#REF!</f>
        <v>#REF!</v>
      </c>
      <c r="S47" s="94">
        <f>+'QUOTE WORKING SHEET'!K95</f>
        <v>0</v>
      </c>
      <c r="T47" s="94">
        <f>+'QUOTE WORKING SHEET'!L95</f>
        <v>0</v>
      </c>
      <c r="U47" s="94">
        <f>+'QUOTE WORKING SHEET'!M95</f>
        <v>0</v>
      </c>
      <c r="V47" s="95">
        <f>+'QUOTE WORKING SHEET'!N95</f>
        <v>0</v>
      </c>
      <c r="W47" s="94">
        <f>+'QUOTE WORKING SHEET'!O95</f>
        <v>0</v>
      </c>
      <c r="X47" s="95">
        <f>+'QUOTE WORKING SHEET'!P95</f>
        <v>0</v>
      </c>
      <c r="Y47" s="94">
        <f>+'QUOTE WORKING SHEET'!Q95</f>
        <v>0</v>
      </c>
      <c r="Z47" s="95">
        <f>+'QUOTE WORKING SHEET'!R95</f>
        <v>0</v>
      </c>
      <c r="AA47" s="9"/>
      <c r="AB47" s="103"/>
      <c r="AC47" s="103"/>
      <c r="AD47" s="103"/>
    </row>
    <row r="48" spans="1:30" ht="168" customHeight="1" x14ac:dyDescent="0.25">
      <c r="A48" s="105">
        <f>+'QUOTE WORKING SHEET'!A98</f>
        <v>77</v>
      </c>
      <c r="B48" s="105" t="e">
        <f>+'QUOTE WORKING SHEET'!#REF!</f>
        <v>#REF!</v>
      </c>
      <c r="C48" s="105">
        <f>+'QUOTE WORKING SHEET'!B98</f>
        <v>0</v>
      </c>
      <c r="D48" s="105" t="e">
        <f>+'QUOTE WORKING SHEET'!#REF!</f>
        <v>#REF!</v>
      </c>
      <c r="E48" s="105" t="e">
        <f>+'QUOTE WORKING SHEET'!#REF!</f>
        <v>#REF!</v>
      </c>
      <c r="F48" s="105" t="e">
        <f>+'QUOTE WORKING SHEET'!#REF!</f>
        <v>#REF!</v>
      </c>
      <c r="G48" s="105">
        <f>+'QUOTE WORKING SHEET'!C96</f>
        <v>0</v>
      </c>
      <c r="H48" s="105">
        <f>+'QUOTE WORKING SHEET'!D96</f>
        <v>0</v>
      </c>
      <c r="I48" s="105">
        <f>+'QUOTE WORKING SHEET'!E96</f>
        <v>0</v>
      </c>
      <c r="J48" s="105">
        <f>+'QUOTE WORKING SHEET'!F96</f>
        <v>0</v>
      </c>
      <c r="K48" s="105" t="e">
        <f>+'QUOTE WORKING SHEET'!#REF!</f>
        <v>#REF!</v>
      </c>
      <c r="L48" s="105">
        <f>+'QUOTE WORKING SHEET'!G96</f>
        <v>0</v>
      </c>
      <c r="M48" s="105">
        <f>+'QUOTE WORKING SHEET'!H96</f>
        <v>0</v>
      </c>
      <c r="N48" s="105">
        <f>+'QUOTE WORKING SHEET'!I96</f>
        <v>0</v>
      </c>
      <c r="O48" s="105">
        <f>+'QUOTE WORKING SHEET'!J96</f>
        <v>0</v>
      </c>
      <c r="P48" s="105" t="e">
        <f>+'QUOTE WORKING SHEET'!#REF!</f>
        <v>#REF!</v>
      </c>
      <c r="Q48" s="105" t="e">
        <f>+'QUOTE WORKING SHEET'!#REF!</f>
        <v>#REF!</v>
      </c>
      <c r="R48" s="105" t="e">
        <f>+'QUOTE WORKING SHEET'!#REF!</f>
        <v>#REF!</v>
      </c>
      <c r="S48" s="94">
        <f>+'QUOTE WORKING SHEET'!K96</f>
        <v>0</v>
      </c>
      <c r="T48" s="94">
        <f>+'QUOTE WORKING SHEET'!L96</f>
        <v>0</v>
      </c>
      <c r="U48" s="94">
        <f>+'QUOTE WORKING SHEET'!M96</f>
        <v>0</v>
      </c>
      <c r="V48" s="95">
        <f>+'QUOTE WORKING SHEET'!N96</f>
        <v>0</v>
      </c>
      <c r="W48" s="94">
        <f>+'QUOTE WORKING SHEET'!O96</f>
        <v>0</v>
      </c>
      <c r="X48" s="95">
        <f>+'QUOTE WORKING SHEET'!P96</f>
        <v>0</v>
      </c>
      <c r="Y48" s="94">
        <f>+'QUOTE WORKING SHEET'!Q96</f>
        <v>0</v>
      </c>
      <c r="Z48" s="95">
        <f>+'QUOTE WORKING SHEET'!R96</f>
        <v>0</v>
      </c>
      <c r="AA48" s="9"/>
      <c r="AB48" s="103"/>
      <c r="AC48" s="103"/>
      <c r="AD48" s="103"/>
    </row>
    <row r="49" spans="1:30" ht="168" customHeight="1" x14ac:dyDescent="0.25">
      <c r="A49" s="105">
        <f>+'QUOTE WORKING SHEET'!A99</f>
        <v>78</v>
      </c>
      <c r="B49" s="105" t="e">
        <f>+'QUOTE WORKING SHEET'!#REF!</f>
        <v>#REF!</v>
      </c>
      <c r="C49" s="105">
        <f>+'QUOTE WORKING SHEET'!B99</f>
        <v>0</v>
      </c>
      <c r="D49" s="105" t="e">
        <f>+'QUOTE WORKING SHEET'!#REF!</f>
        <v>#REF!</v>
      </c>
      <c r="E49" s="105" t="e">
        <f>+'QUOTE WORKING SHEET'!#REF!</f>
        <v>#REF!</v>
      </c>
      <c r="F49" s="105" t="e">
        <f>+'QUOTE WORKING SHEET'!#REF!</f>
        <v>#REF!</v>
      </c>
      <c r="G49" s="105">
        <f>+'QUOTE WORKING SHEET'!C97</f>
        <v>0</v>
      </c>
      <c r="H49" s="105">
        <f>+'QUOTE WORKING SHEET'!D97</f>
        <v>0</v>
      </c>
      <c r="I49" s="105">
        <f>+'QUOTE WORKING SHEET'!E97</f>
        <v>0</v>
      </c>
      <c r="J49" s="105">
        <f>+'QUOTE WORKING SHEET'!F97</f>
        <v>0</v>
      </c>
      <c r="K49" s="105" t="e">
        <f>+'QUOTE WORKING SHEET'!#REF!</f>
        <v>#REF!</v>
      </c>
      <c r="L49" s="105">
        <f>+'QUOTE WORKING SHEET'!G97</f>
        <v>0</v>
      </c>
      <c r="M49" s="105">
        <f>+'QUOTE WORKING SHEET'!H97</f>
        <v>0</v>
      </c>
      <c r="N49" s="105">
        <f>+'QUOTE WORKING SHEET'!I97</f>
        <v>0</v>
      </c>
      <c r="O49" s="105">
        <f>+'QUOTE WORKING SHEET'!J97</f>
        <v>0</v>
      </c>
      <c r="P49" s="105" t="e">
        <f>+'QUOTE WORKING SHEET'!#REF!</f>
        <v>#REF!</v>
      </c>
      <c r="Q49" s="105" t="e">
        <f>+'QUOTE WORKING SHEET'!#REF!</f>
        <v>#REF!</v>
      </c>
      <c r="R49" s="105" t="e">
        <f>+'QUOTE WORKING SHEET'!#REF!</f>
        <v>#REF!</v>
      </c>
      <c r="S49" s="94">
        <f>+'QUOTE WORKING SHEET'!K97</f>
        <v>0</v>
      </c>
      <c r="T49" s="94">
        <f>+'QUOTE WORKING SHEET'!L97</f>
        <v>0</v>
      </c>
      <c r="U49" s="94">
        <f>+'QUOTE WORKING SHEET'!M97</f>
        <v>0</v>
      </c>
      <c r="V49" s="95">
        <f>+'QUOTE WORKING SHEET'!N97</f>
        <v>0</v>
      </c>
      <c r="W49" s="94">
        <f>+'QUOTE WORKING SHEET'!O97</f>
        <v>0</v>
      </c>
      <c r="X49" s="95">
        <f>+'QUOTE WORKING SHEET'!P97</f>
        <v>0</v>
      </c>
      <c r="Y49" s="94">
        <f>+'QUOTE WORKING SHEET'!Q97</f>
        <v>0</v>
      </c>
      <c r="Z49" s="95">
        <f>+'QUOTE WORKING SHEET'!R97</f>
        <v>0</v>
      </c>
      <c r="AA49" s="9"/>
      <c r="AB49" s="103"/>
      <c r="AC49" s="103"/>
      <c r="AD49" s="103"/>
    </row>
    <row r="50" spans="1:30" ht="168" customHeight="1" x14ac:dyDescent="0.25">
      <c r="A50" s="105">
        <f>+'QUOTE WORKING SHEET'!A100</f>
        <v>79</v>
      </c>
      <c r="B50" s="105" t="e">
        <f>+'QUOTE WORKING SHEET'!#REF!</f>
        <v>#REF!</v>
      </c>
      <c r="C50" s="105">
        <f>+'QUOTE WORKING SHEET'!B100</f>
        <v>0</v>
      </c>
      <c r="D50" s="105" t="e">
        <f>+'QUOTE WORKING SHEET'!#REF!</f>
        <v>#REF!</v>
      </c>
      <c r="E50" s="105" t="e">
        <f>+'QUOTE WORKING SHEET'!#REF!</f>
        <v>#REF!</v>
      </c>
      <c r="F50" s="105" t="e">
        <f>+'QUOTE WORKING SHEET'!#REF!</f>
        <v>#REF!</v>
      </c>
      <c r="G50" s="105">
        <f>+'QUOTE WORKING SHEET'!C98</f>
        <v>0</v>
      </c>
      <c r="H50" s="105">
        <f>+'QUOTE WORKING SHEET'!D98</f>
        <v>0</v>
      </c>
      <c r="I50" s="105">
        <f>+'QUOTE WORKING SHEET'!E98</f>
        <v>0</v>
      </c>
      <c r="J50" s="105">
        <f>+'QUOTE WORKING SHEET'!F98</f>
        <v>0</v>
      </c>
      <c r="K50" s="105" t="e">
        <f>+'QUOTE WORKING SHEET'!#REF!</f>
        <v>#REF!</v>
      </c>
      <c r="L50" s="105">
        <f>+'QUOTE WORKING SHEET'!G98</f>
        <v>0</v>
      </c>
      <c r="M50" s="105">
        <f>+'QUOTE WORKING SHEET'!H98</f>
        <v>0</v>
      </c>
      <c r="N50" s="105">
        <f>+'QUOTE WORKING SHEET'!I98</f>
        <v>0</v>
      </c>
      <c r="O50" s="105">
        <f>+'QUOTE WORKING SHEET'!J98</f>
        <v>0</v>
      </c>
      <c r="P50" s="105" t="e">
        <f>+'QUOTE WORKING SHEET'!#REF!</f>
        <v>#REF!</v>
      </c>
      <c r="Q50" s="105" t="e">
        <f>+'QUOTE WORKING SHEET'!#REF!</f>
        <v>#REF!</v>
      </c>
      <c r="R50" s="105" t="e">
        <f>+'QUOTE WORKING SHEET'!#REF!</f>
        <v>#REF!</v>
      </c>
      <c r="S50" s="94">
        <f>+'QUOTE WORKING SHEET'!K98</f>
        <v>0</v>
      </c>
      <c r="T50" s="94">
        <f>+'QUOTE WORKING SHEET'!L98</f>
        <v>0</v>
      </c>
      <c r="U50" s="94">
        <f>+'QUOTE WORKING SHEET'!M98</f>
        <v>0</v>
      </c>
      <c r="V50" s="95">
        <f>+'QUOTE WORKING SHEET'!N98</f>
        <v>0</v>
      </c>
      <c r="W50" s="94">
        <f>+'QUOTE WORKING SHEET'!O98</f>
        <v>0</v>
      </c>
      <c r="X50" s="95">
        <f>+'QUOTE WORKING SHEET'!P98</f>
        <v>0</v>
      </c>
      <c r="Y50" s="94">
        <f>+'QUOTE WORKING SHEET'!Q98</f>
        <v>0</v>
      </c>
      <c r="Z50" s="95">
        <f>+'QUOTE WORKING SHEET'!R98</f>
        <v>0</v>
      </c>
      <c r="AA50" s="9"/>
      <c r="AB50" s="103"/>
      <c r="AC50" s="103"/>
      <c r="AD50" s="103"/>
    </row>
    <row r="51" spans="1:30" ht="168" customHeight="1" x14ac:dyDescent="0.25">
      <c r="A51" s="105">
        <f>+'QUOTE WORKING SHEET'!A101</f>
        <v>80</v>
      </c>
      <c r="B51" s="105" t="e">
        <f>+'QUOTE WORKING SHEET'!#REF!</f>
        <v>#REF!</v>
      </c>
      <c r="C51" s="105">
        <f>+'QUOTE WORKING SHEET'!B101</f>
        <v>0</v>
      </c>
      <c r="D51" s="105" t="e">
        <f>+'QUOTE WORKING SHEET'!#REF!</f>
        <v>#REF!</v>
      </c>
      <c r="E51" s="105" t="e">
        <f>+'QUOTE WORKING SHEET'!#REF!</f>
        <v>#REF!</v>
      </c>
      <c r="F51" s="105" t="e">
        <f>+'QUOTE WORKING SHEET'!#REF!</f>
        <v>#REF!</v>
      </c>
      <c r="G51" s="105">
        <f>+'QUOTE WORKING SHEET'!C99</f>
        <v>0</v>
      </c>
      <c r="H51" s="105">
        <f>+'QUOTE WORKING SHEET'!D99</f>
        <v>0</v>
      </c>
      <c r="I51" s="105">
        <f>+'QUOTE WORKING SHEET'!E99</f>
        <v>0</v>
      </c>
      <c r="J51" s="105">
        <f>+'QUOTE WORKING SHEET'!F99</f>
        <v>0</v>
      </c>
      <c r="K51" s="105" t="e">
        <f>+'QUOTE WORKING SHEET'!#REF!</f>
        <v>#REF!</v>
      </c>
      <c r="L51" s="105">
        <f>+'QUOTE WORKING SHEET'!G99</f>
        <v>0</v>
      </c>
      <c r="M51" s="105">
        <f>+'QUOTE WORKING SHEET'!H99</f>
        <v>0</v>
      </c>
      <c r="N51" s="105">
        <f>+'QUOTE WORKING SHEET'!I99</f>
        <v>0</v>
      </c>
      <c r="O51" s="105">
        <f>+'QUOTE WORKING SHEET'!J99</f>
        <v>0</v>
      </c>
      <c r="P51" s="105" t="e">
        <f>+'QUOTE WORKING SHEET'!#REF!</f>
        <v>#REF!</v>
      </c>
      <c r="Q51" s="105" t="e">
        <f>+'QUOTE WORKING SHEET'!#REF!</f>
        <v>#REF!</v>
      </c>
      <c r="R51" s="105" t="e">
        <f>+'QUOTE WORKING SHEET'!#REF!</f>
        <v>#REF!</v>
      </c>
      <c r="S51" s="94">
        <f>+'QUOTE WORKING SHEET'!K99</f>
        <v>0</v>
      </c>
      <c r="T51" s="94">
        <f>+'QUOTE WORKING SHEET'!L99</f>
        <v>0</v>
      </c>
      <c r="U51" s="94">
        <f>+'QUOTE WORKING SHEET'!M99</f>
        <v>0</v>
      </c>
      <c r="V51" s="95">
        <f>+'QUOTE WORKING SHEET'!N99</f>
        <v>0</v>
      </c>
      <c r="W51" s="94">
        <f>+'QUOTE WORKING SHEET'!O99</f>
        <v>0</v>
      </c>
      <c r="X51" s="95">
        <f>+'QUOTE WORKING SHEET'!P99</f>
        <v>0</v>
      </c>
      <c r="Y51" s="94">
        <f>+'QUOTE WORKING SHEET'!Q99</f>
        <v>0</v>
      </c>
      <c r="Z51" s="95">
        <f>+'QUOTE WORKING SHEET'!R99</f>
        <v>0</v>
      </c>
      <c r="AA51" s="9"/>
      <c r="AB51" s="103"/>
      <c r="AC51" s="103"/>
      <c r="AD51" s="103"/>
    </row>
    <row r="52" spans="1:30" ht="168" customHeight="1" x14ac:dyDescent="0.25">
      <c r="A52" s="105">
        <f>+'QUOTE WORKING SHEET'!A102</f>
        <v>81</v>
      </c>
      <c r="B52" s="105" t="e">
        <f>+'QUOTE WORKING SHEET'!#REF!</f>
        <v>#REF!</v>
      </c>
      <c r="C52" s="105">
        <f>+'QUOTE WORKING SHEET'!B102</f>
        <v>0</v>
      </c>
      <c r="D52" s="105" t="e">
        <f>+'QUOTE WORKING SHEET'!#REF!</f>
        <v>#REF!</v>
      </c>
      <c r="E52" s="105" t="e">
        <f>+'QUOTE WORKING SHEET'!#REF!</f>
        <v>#REF!</v>
      </c>
      <c r="F52" s="105" t="e">
        <f>+'QUOTE WORKING SHEET'!#REF!</f>
        <v>#REF!</v>
      </c>
      <c r="G52" s="105">
        <f>+'QUOTE WORKING SHEET'!C100</f>
        <v>0</v>
      </c>
      <c r="H52" s="105">
        <f>+'QUOTE WORKING SHEET'!D100</f>
        <v>0</v>
      </c>
      <c r="I52" s="105">
        <f>+'QUOTE WORKING SHEET'!E100</f>
        <v>0</v>
      </c>
      <c r="J52" s="105">
        <f>+'QUOTE WORKING SHEET'!F100</f>
        <v>0</v>
      </c>
      <c r="K52" s="105" t="e">
        <f>+'QUOTE WORKING SHEET'!#REF!</f>
        <v>#REF!</v>
      </c>
      <c r="L52" s="105">
        <f>+'QUOTE WORKING SHEET'!G100</f>
        <v>0</v>
      </c>
      <c r="M52" s="105">
        <f>+'QUOTE WORKING SHEET'!H100</f>
        <v>0</v>
      </c>
      <c r="N52" s="105">
        <f>+'QUOTE WORKING SHEET'!I100</f>
        <v>0</v>
      </c>
      <c r="O52" s="105">
        <f>+'QUOTE WORKING SHEET'!J100</f>
        <v>0</v>
      </c>
      <c r="P52" s="105" t="e">
        <f>+'QUOTE WORKING SHEET'!#REF!</f>
        <v>#REF!</v>
      </c>
      <c r="Q52" s="105" t="e">
        <f>+'QUOTE WORKING SHEET'!#REF!</f>
        <v>#REF!</v>
      </c>
      <c r="R52" s="105" t="e">
        <f>+'QUOTE WORKING SHEET'!#REF!</f>
        <v>#REF!</v>
      </c>
      <c r="S52" s="94">
        <f>+'QUOTE WORKING SHEET'!K100</f>
        <v>0</v>
      </c>
      <c r="T52" s="94">
        <f>+'QUOTE WORKING SHEET'!L100</f>
        <v>0</v>
      </c>
      <c r="U52" s="94">
        <f>+'QUOTE WORKING SHEET'!M100</f>
        <v>0</v>
      </c>
      <c r="V52" s="95">
        <f>+'QUOTE WORKING SHEET'!N100</f>
        <v>0</v>
      </c>
      <c r="W52" s="94">
        <f>+'QUOTE WORKING SHEET'!O100</f>
        <v>0</v>
      </c>
      <c r="X52" s="95">
        <f>+'QUOTE WORKING SHEET'!P100</f>
        <v>0</v>
      </c>
      <c r="Y52" s="94">
        <f>+'QUOTE WORKING SHEET'!Q100</f>
        <v>0</v>
      </c>
      <c r="Z52" s="95">
        <f>+'QUOTE WORKING SHEET'!R100</f>
        <v>0</v>
      </c>
      <c r="AA52" s="9"/>
      <c r="AB52" s="103"/>
      <c r="AC52" s="103"/>
      <c r="AD52" s="103"/>
    </row>
    <row r="53" spans="1:30" ht="168" customHeight="1" x14ac:dyDescent="0.25">
      <c r="A53" s="105">
        <f>+'QUOTE WORKING SHEET'!A103</f>
        <v>82</v>
      </c>
      <c r="B53" s="105" t="e">
        <f>+'QUOTE WORKING SHEET'!#REF!</f>
        <v>#REF!</v>
      </c>
      <c r="C53" s="105">
        <f>+'QUOTE WORKING SHEET'!B103</f>
        <v>0</v>
      </c>
      <c r="D53" s="105" t="e">
        <f>+'QUOTE WORKING SHEET'!#REF!</f>
        <v>#REF!</v>
      </c>
      <c r="E53" s="105" t="e">
        <f>+'QUOTE WORKING SHEET'!#REF!</f>
        <v>#REF!</v>
      </c>
      <c r="F53" s="105" t="e">
        <f>+'QUOTE WORKING SHEET'!#REF!</f>
        <v>#REF!</v>
      </c>
      <c r="G53" s="105">
        <f>+'QUOTE WORKING SHEET'!C101</f>
        <v>0</v>
      </c>
      <c r="H53" s="105">
        <f>+'QUOTE WORKING SHEET'!D101</f>
        <v>0</v>
      </c>
      <c r="I53" s="105">
        <f>+'QUOTE WORKING SHEET'!E101</f>
        <v>0</v>
      </c>
      <c r="J53" s="105">
        <f>+'QUOTE WORKING SHEET'!F101</f>
        <v>0</v>
      </c>
      <c r="K53" s="105" t="e">
        <f>+'QUOTE WORKING SHEET'!#REF!</f>
        <v>#REF!</v>
      </c>
      <c r="L53" s="105">
        <f>+'QUOTE WORKING SHEET'!G101</f>
        <v>0</v>
      </c>
      <c r="M53" s="105">
        <f>+'QUOTE WORKING SHEET'!H101</f>
        <v>0</v>
      </c>
      <c r="N53" s="105">
        <f>+'QUOTE WORKING SHEET'!I101</f>
        <v>0</v>
      </c>
      <c r="O53" s="105">
        <f>+'QUOTE WORKING SHEET'!J101</f>
        <v>0</v>
      </c>
      <c r="P53" s="105" t="e">
        <f>+'QUOTE WORKING SHEET'!#REF!</f>
        <v>#REF!</v>
      </c>
      <c r="Q53" s="105" t="e">
        <f>+'QUOTE WORKING SHEET'!#REF!</f>
        <v>#REF!</v>
      </c>
      <c r="R53" s="105" t="e">
        <f>+'QUOTE WORKING SHEET'!#REF!</f>
        <v>#REF!</v>
      </c>
      <c r="S53" s="94">
        <f>+'QUOTE WORKING SHEET'!K101</f>
        <v>0</v>
      </c>
      <c r="T53" s="94">
        <f>+'QUOTE WORKING SHEET'!L101</f>
        <v>0</v>
      </c>
      <c r="U53" s="94">
        <f>+'QUOTE WORKING SHEET'!M101</f>
        <v>0</v>
      </c>
      <c r="V53" s="95">
        <f>+'QUOTE WORKING SHEET'!N101</f>
        <v>0</v>
      </c>
      <c r="W53" s="94">
        <f>+'QUOTE WORKING SHEET'!O101</f>
        <v>0</v>
      </c>
      <c r="X53" s="95">
        <f>+'QUOTE WORKING SHEET'!P101</f>
        <v>0</v>
      </c>
      <c r="Y53" s="94">
        <f>+'QUOTE WORKING SHEET'!Q101</f>
        <v>0</v>
      </c>
      <c r="Z53" s="95">
        <f>+'QUOTE WORKING SHEET'!R101</f>
        <v>0</v>
      </c>
      <c r="AA53" s="9"/>
      <c r="AB53" s="103"/>
      <c r="AC53" s="103"/>
      <c r="AD53" s="103"/>
    </row>
    <row r="54" spans="1:30" ht="168" customHeight="1" x14ac:dyDescent="0.25">
      <c r="A54" s="105">
        <f>+'QUOTE WORKING SHEET'!A104</f>
        <v>83</v>
      </c>
      <c r="B54" s="105" t="e">
        <f>+'QUOTE WORKING SHEET'!#REF!</f>
        <v>#REF!</v>
      </c>
      <c r="C54" s="105">
        <f>+'QUOTE WORKING SHEET'!B104</f>
        <v>0</v>
      </c>
      <c r="D54" s="105" t="e">
        <f>+'QUOTE WORKING SHEET'!#REF!</f>
        <v>#REF!</v>
      </c>
      <c r="E54" s="105" t="e">
        <f>+'QUOTE WORKING SHEET'!#REF!</f>
        <v>#REF!</v>
      </c>
      <c r="F54" s="105" t="e">
        <f>+'QUOTE WORKING SHEET'!#REF!</f>
        <v>#REF!</v>
      </c>
      <c r="G54" s="105">
        <f>+'QUOTE WORKING SHEET'!C102</f>
        <v>0</v>
      </c>
      <c r="H54" s="105">
        <f>+'QUOTE WORKING SHEET'!D102</f>
        <v>0</v>
      </c>
      <c r="I54" s="105">
        <f>+'QUOTE WORKING SHEET'!E102</f>
        <v>0</v>
      </c>
      <c r="J54" s="105">
        <f>+'QUOTE WORKING SHEET'!F102</f>
        <v>0</v>
      </c>
      <c r="K54" s="105" t="e">
        <f>+'QUOTE WORKING SHEET'!#REF!</f>
        <v>#REF!</v>
      </c>
      <c r="L54" s="105">
        <f>+'QUOTE WORKING SHEET'!G102</f>
        <v>0</v>
      </c>
      <c r="M54" s="105">
        <f>+'QUOTE WORKING SHEET'!H102</f>
        <v>0</v>
      </c>
      <c r="N54" s="105">
        <f>+'QUOTE WORKING SHEET'!I102</f>
        <v>0</v>
      </c>
      <c r="O54" s="105">
        <f>+'QUOTE WORKING SHEET'!J102</f>
        <v>0</v>
      </c>
      <c r="P54" s="105" t="e">
        <f>+'QUOTE WORKING SHEET'!#REF!</f>
        <v>#REF!</v>
      </c>
      <c r="Q54" s="105" t="e">
        <f>+'QUOTE WORKING SHEET'!#REF!</f>
        <v>#REF!</v>
      </c>
      <c r="R54" s="105" t="e">
        <f>+'QUOTE WORKING SHEET'!#REF!</f>
        <v>#REF!</v>
      </c>
      <c r="S54" s="94">
        <f>+'QUOTE WORKING SHEET'!K102</f>
        <v>0</v>
      </c>
      <c r="T54" s="94">
        <f>+'QUOTE WORKING SHEET'!L102</f>
        <v>0</v>
      </c>
      <c r="U54" s="94">
        <f>+'QUOTE WORKING SHEET'!M102</f>
        <v>0</v>
      </c>
      <c r="V54" s="95">
        <f>+'QUOTE WORKING SHEET'!N102</f>
        <v>0</v>
      </c>
      <c r="W54" s="94">
        <f>+'QUOTE WORKING SHEET'!O102</f>
        <v>0</v>
      </c>
      <c r="X54" s="95">
        <f>+'QUOTE WORKING SHEET'!P102</f>
        <v>0</v>
      </c>
      <c r="Y54" s="94">
        <f>+'QUOTE WORKING SHEET'!Q102</f>
        <v>0</v>
      </c>
      <c r="Z54" s="95">
        <f>+'QUOTE WORKING SHEET'!R102</f>
        <v>0</v>
      </c>
      <c r="AA54" s="9"/>
      <c r="AB54" s="103"/>
      <c r="AC54" s="103"/>
      <c r="AD54" s="103"/>
    </row>
    <row r="55" spans="1:30" ht="168" customHeight="1" x14ac:dyDescent="0.25">
      <c r="A55" s="105">
        <f>+'QUOTE WORKING SHEET'!A105</f>
        <v>84</v>
      </c>
      <c r="B55" s="105" t="e">
        <f>+'QUOTE WORKING SHEET'!#REF!</f>
        <v>#REF!</v>
      </c>
      <c r="C55" s="105">
        <f>+'QUOTE WORKING SHEET'!B105</f>
        <v>0</v>
      </c>
      <c r="D55" s="105" t="e">
        <f>+'QUOTE WORKING SHEET'!#REF!</f>
        <v>#REF!</v>
      </c>
      <c r="E55" s="105" t="e">
        <f>+'QUOTE WORKING SHEET'!#REF!</f>
        <v>#REF!</v>
      </c>
      <c r="F55" s="105" t="e">
        <f>+'QUOTE WORKING SHEET'!#REF!</f>
        <v>#REF!</v>
      </c>
      <c r="G55" s="105">
        <f>+'QUOTE WORKING SHEET'!C103</f>
        <v>0</v>
      </c>
      <c r="H55" s="105">
        <f>+'QUOTE WORKING SHEET'!D103</f>
        <v>0</v>
      </c>
      <c r="I55" s="105">
        <f>+'QUOTE WORKING SHEET'!E103</f>
        <v>0</v>
      </c>
      <c r="J55" s="105">
        <f>+'QUOTE WORKING SHEET'!F103</f>
        <v>0</v>
      </c>
      <c r="K55" s="105" t="e">
        <f>+'QUOTE WORKING SHEET'!#REF!</f>
        <v>#REF!</v>
      </c>
      <c r="L55" s="105">
        <f>+'QUOTE WORKING SHEET'!G103</f>
        <v>0</v>
      </c>
      <c r="M55" s="105">
        <f>+'QUOTE WORKING SHEET'!H103</f>
        <v>0</v>
      </c>
      <c r="N55" s="105">
        <f>+'QUOTE WORKING SHEET'!I103</f>
        <v>0</v>
      </c>
      <c r="O55" s="105">
        <f>+'QUOTE WORKING SHEET'!J103</f>
        <v>0</v>
      </c>
      <c r="P55" s="105" t="e">
        <f>+'QUOTE WORKING SHEET'!#REF!</f>
        <v>#REF!</v>
      </c>
      <c r="Q55" s="105" t="e">
        <f>+'QUOTE WORKING SHEET'!#REF!</f>
        <v>#REF!</v>
      </c>
      <c r="R55" s="105" t="e">
        <f>+'QUOTE WORKING SHEET'!#REF!</f>
        <v>#REF!</v>
      </c>
      <c r="S55" s="94">
        <f>+'QUOTE WORKING SHEET'!K103</f>
        <v>0</v>
      </c>
      <c r="T55" s="94">
        <f>+'QUOTE WORKING SHEET'!L103</f>
        <v>0</v>
      </c>
      <c r="U55" s="94">
        <f>+'QUOTE WORKING SHEET'!M103</f>
        <v>0</v>
      </c>
      <c r="V55" s="95">
        <f>+'QUOTE WORKING SHEET'!N103</f>
        <v>0</v>
      </c>
      <c r="W55" s="94">
        <f>+'QUOTE WORKING SHEET'!O103</f>
        <v>0</v>
      </c>
      <c r="X55" s="95">
        <f>+'QUOTE WORKING SHEET'!P103</f>
        <v>0</v>
      </c>
      <c r="Y55" s="94">
        <f>+'QUOTE WORKING SHEET'!Q103</f>
        <v>0</v>
      </c>
      <c r="Z55" s="95">
        <f>+'QUOTE WORKING SHEET'!R103</f>
        <v>0</v>
      </c>
      <c r="AA55" s="9"/>
      <c r="AB55" s="103"/>
      <c r="AC55" s="103"/>
      <c r="AD55" s="103"/>
    </row>
    <row r="56" spans="1:30" ht="168" customHeight="1" x14ac:dyDescent="0.25">
      <c r="A56" s="105" t="e">
        <f>+'QUOTE WORKING SHEET'!#REF!</f>
        <v>#REF!</v>
      </c>
      <c r="B56" s="105" t="e">
        <f>+'QUOTE WORKING SHEET'!#REF!</f>
        <v>#REF!</v>
      </c>
      <c r="C56" s="105" t="e">
        <f>+'QUOTE WORKING SHEET'!#REF!</f>
        <v>#REF!</v>
      </c>
      <c r="D56" s="105" t="e">
        <f>+'QUOTE WORKING SHEET'!#REF!</f>
        <v>#REF!</v>
      </c>
      <c r="E56" s="105" t="e">
        <f>+'QUOTE WORKING SHEET'!#REF!</f>
        <v>#REF!</v>
      </c>
      <c r="F56" s="105" t="e">
        <f>+'QUOTE WORKING SHEET'!#REF!</f>
        <v>#REF!</v>
      </c>
      <c r="G56" s="105">
        <f>+'QUOTE WORKING SHEET'!C104</f>
        <v>0</v>
      </c>
      <c r="H56" s="105">
        <f>+'QUOTE WORKING SHEET'!D104</f>
        <v>0</v>
      </c>
      <c r="I56" s="105">
        <f>+'QUOTE WORKING SHEET'!E104</f>
        <v>0</v>
      </c>
      <c r="J56" s="105">
        <f>+'QUOTE WORKING SHEET'!F104</f>
        <v>0</v>
      </c>
      <c r="K56" s="105" t="e">
        <f>+'QUOTE WORKING SHEET'!#REF!</f>
        <v>#REF!</v>
      </c>
      <c r="L56" s="105">
        <f>+'QUOTE WORKING SHEET'!G104</f>
        <v>0</v>
      </c>
      <c r="M56" s="105">
        <f>+'QUOTE WORKING SHEET'!H104</f>
        <v>0</v>
      </c>
      <c r="N56" s="105">
        <f>+'QUOTE WORKING SHEET'!I104</f>
        <v>0</v>
      </c>
      <c r="O56" s="105">
        <f>+'QUOTE WORKING SHEET'!J104</f>
        <v>0</v>
      </c>
      <c r="P56" s="105" t="e">
        <f>+'QUOTE WORKING SHEET'!#REF!</f>
        <v>#REF!</v>
      </c>
      <c r="Q56" s="105" t="e">
        <f>+'QUOTE WORKING SHEET'!#REF!</f>
        <v>#REF!</v>
      </c>
      <c r="R56" s="105" t="e">
        <f>+'QUOTE WORKING SHEET'!#REF!</f>
        <v>#REF!</v>
      </c>
      <c r="S56" s="94">
        <f>+'QUOTE WORKING SHEET'!K104</f>
        <v>0</v>
      </c>
      <c r="T56" s="94">
        <f>+'QUOTE WORKING SHEET'!L104</f>
        <v>0</v>
      </c>
      <c r="U56" s="94">
        <f>+'QUOTE WORKING SHEET'!M104</f>
        <v>0</v>
      </c>
      <c r="V56" s="95">
        <f>+'QUOTE WORKING SHEET'!N104</f>
        <v>0</v>
      </c>
      <c r="W56" s="94">
        <f>+'QUOTE WORKING SHEET'!O104</f>
        <v>0</v>
      </c>
      <c r="X56" s="95">
        <f>+'QUOTE WORKING SHEET'!P104</f>
        <v>0</v>
      </c>
      <c r="Y56" s="94">
        <f>+'QUOTE WORKING SHEET'!Q104</f>
        <v>0</v>
      </c>
      <c r="Z56" s="95">
        <f>+'QUOTE WORKING SHEET'!R104</f>
        <v>0</v>
      </c>
      <c r="AA56" s="9"/>
      <c r="AB56" s="103"/>
      <c r="AC56" s="103"/>
      <c r="AD56" s="103"/>
    </row>
    <row r="57" spans="1:30" ht="168" customHeight="1" x14ac:dyDescent="0.25">
      <c r="A57" s="105" t="e">
        <f>+'QUOTE WORKING SHEET'!#REF!</f>
        <v>#REF!</v>
      </c>
      <c r="B57" s="105" t="e">
        <f>+'QUOTE WORKING SHEET'!#REF!</f>
        <v>#REF!</v>
      </c>
      <c r="C57" s="105" t="e">
        <f>+'QUOTE WORKING SHEET'!#REF!</f>
        <v>#REF!</v>
      </c>
      <c r="D57" s="105" t="e">
        <f>+'QUOTE WORKING SHEET'!#REF!</f>
        <v>#REF!</v>
      </c>
      <c r="E57" s="105" t="e">
        <f>+'QUOTE WORKING SHEET'!#REF!</f>
        <v>#REF!</v>
      </c>
      <c r="F57" s="105" t="e">
        <f>+'QUOTE WORKING SHEET'!#REF!</f>
        <v>#REF!</v>
      </c>
      <c r="G57" s="105">
        <f>+'QUOTE WORKING SHEET'!C105</f>
        <v>0</v>
      </c>
      <c r="H57" s="105">
        <f>+'QUOTE WORKING SHEET'!D105</f>
        <v>0</v>
      </c>
      <c r="I57" s="105">
        <f>+'QUOTE WORKING SHEET'!E105</f>
        <v>0</v>
      </c>
      <c r="J57" s="105">
        <f>+'QUOTE WORKING SHEET'!F105</f>
        <v>0</v>
      </c>
      <c r="K57" s="105" t="e">
        <f>+'QUOTE WORKING SHEET'!#REF!</f>
        <v>#REF!</v>
      </c>
      <c r="L57" s="105">
        <f>+'QUOTE WORKING SHEET'!G105</f>
        <v>0</v>
      </c>
      <c r="M57" s="105">
        <f>+'QUOTE WORKING SHEET'!H105</f>
        <v>0</v>
      </c>
      <c r="N57" s="105">
        <f>+'QUOTE WORKING SHEET'!I105</f>
        <v>0</v>
      </c>
      <c r="O57" s="105">
        <f>+'QUOTE WORKING SHEET'!J105</f>
        <v>0</v>
      </c>
      <c r="P57" s="105" t="e">
        <f>+'QUOTE WORKING SHEET'!#REF!</f>
        <v>#REF!</v>
      </c>
      <c r="Q57" s="105" t="e">
        <f>+'QUOTE WORKING SHEET'!#REF!</f>
        <v>#REF!</v>
      </c>
      <c r="R57" s="105" t="e">
        <f>+'QUOTE WORKING SHEET'!#REF!</f>
        <v>#REF!</v>
      </c>
      <c r="S57" s="94">
        <f>+'QUOTE WORKING SHEET'!K105</f>
        <v>0</v>
      </c>
      <c r="T57" s="94">
        <f>+'QUOTE WORKING SHEET'!L105</f>
        <v>0</v>
      </c>
      <c r="U57" s="94">
        <f>+'QUOTE WORKING SHEET'!M105</f>
        <v>0</v>
      </c>
      <c r="V57" s="95">
        <f>+'QUOTE WORKING SHEET'!N105</f>
        <v>0</v>
      </c>
      <c r="W57" s="94">
        <f>+'QUOTE WORKING SHEET'!O105</f>
        <v>0</v>
      </c>
      <c r="X57" s="95">
        <f>+'QUOTE WORKING SHEET'!P105</f>
        <v>0</v>
      </c>
      <c r="Y57" s="94">
        <f>+'QUOTE WORKING SHEET'!Q105</f>
        <v>0</v>
      </c>
      <c r="Z57" s="95">
        <f>+'QUOTE WORKING SHEET'!R105</f>
        <v>0</v>
      </c>
      <c r="AA57" s="9"/>
      <c r="AB57" s="103"/>
      <c r="AC57" s="103"/>
      <c r="AD57" s="103"/>
    </row>
    <row r="58" spans="1:30" ht="168" customHeight="1" x14ac:dyDescent="0.25">
      <c r="A58" s="105">
        <f>+'QUOTE WORKING SHEET'!A106</f>
        <v>85</v>
      </c>
      <c r="B58" s="105" t="e">
        <f>+'QUOTE WORKING SHEET'!#REF!</f>
        <v>#REF!</v>
      </c>
      <c r="C58" s="105">
        <f>+'QUOTE WORKING SHEET'!B106</f>
        <v>0</v>
      </c>
      <c r="D58" s="105" t="e">
        <f>+'QUOTE WORKING SHEET'!#REF!</f>
        <v>#REF!</v>
      </c>
      <c r="E58" s="105" t="e">
        <f>+'QUOTE WORKING SHEET'!#REF!</f>
        <v>#REF!</v>
      </c>
      <c r="F58" s="105" t="e">
        <f>+'QUOTE WORKING SHEET'!#REF!</f>
        <v>#REF!</v>
      </c>
      <c r="G58" s="105">
        <f>+'QUOTE WORKING SHEET'!C106</f>
        <v>0</v>
      </c>
      <c r="H58" s="105">
        <f>+'QUOTE WORKING SHEET'!D106</f>
        <v>0</v>
      </c>
      <c r="I58" s="105">
        <f>+'QUOTE WORKING SHEET'!E106</f>
        <v>0</v>
      </c>
      <c r="J58" s="105">
        <f>+'QUOTE WORKING SHEET'!F106</f>
        <v>0</v>
      </c>
      <c r="K58" s="105" t="e">
        <f>+'QUOTE WORKING SHEET'!#REF!</f>
        <v>#REF!</v>
      </c>
      <c r="L58" s="105">
        <f>+'QUOTE WORKING SHEET'!G106</f>
        <v>0</v>
      </c>
      <c r="M58" s="105">
        <f>+'QUOTE WORKING SHEET'!H106</f>
        <v>0</v>
      </c>
      <c r="N58" s="105">
        <f>+'QUOTE WORKING SHEET'!I106</f>
        <v>0</v>
      </c>
      <c r="O58" s="105">
        <f>+'QUOTE WORKING SHEET'!J106</f>
        <v>0</v>
      </c>
      <c r="P58" s="105" t="e">
        <f>+'QUOTE WORKING SHEET'!#REF!</f>
        <v>#REF!</v>
      </c>
      <c r="Q58" s="105" t="e">
        <f>+'QUOTE WORKING SHEET'!#REF!</f>
        <v>#REF!</v>
      </c>
      <c r="R58" s="105" t="e">
        <f>+'QUOTE WORKING SHEET'!#REF!</f>
        <v>#REF!</v>
      </c>
      <c r="S58" s="94">
        <f>+'QUOTE WORKING SHEET'!K106</f>
        <v>0</v>
      </c>
      <c r="T58" s="94">
        <f>+'QUOTE WORKING SHEET'!L106</f>
        <v>0</v>
      </c>
      <c r="U58" s="94">
        <f>+'QUOTE WORKING SHEET'!M106</f>
        <v>0</v>
      </c>
      <c r="V58" s="95">
        <f>+'QUOTE WORKING SHEET'!N106</f>
        <v>0</v>
      </c>
      <c r="W58" s="94">
        <f>+'QUOTE WORKING SHEET'!O106</f>
        <v>0</v>
      </c>
      <c r="X58" s="95">
        <f>+'QUOTE WORKING SHEET'!P106</f>
        <v>0</v>
      </c>
      <c r="Y58" s="94">
        <f>+'QUOTE WORKING SHEET'!Q106</f>
        <v>0</v>
      </c>
      <c r="Z58" s="95">
        <f>+'QUOTE WORKING SHEET'!R106</f>
        <v>0</v>
      </c>
      <c r="AA58" s="9"/>
      <c r="AB58" s="103"/>
      <c r="AC58" s="103"/>
      <c r="AD58" s="103"/>
    </row>
    <row r="59" spans="1:30" ht="168" customHeight="1" x14ac:dyDescent="0.25">
      <c r="A59" s="105">
        <f>+'QUOTE WORKING SHEET'!A107</f>
        <v>86</v>
      </c>
      <c r="B59" s="105" t="e">
        <f>+'QUOTE WORKING SHEET'!#REF!</f>
        <v>#REF!</v>
      </c>
      <c r="C59" s="105">
        <f>+'QUOTE WORKING SHEET'!B107</f>
        <v>0</v>
      </c>
      <c r="D59" s="105" t="e">
        <f>+'QUOTE WORKING SHEET'!#REF!</f>
        <v>#REF!</v>
      </c>
      <c r="E59" s="105" t="e">
        <f>+'QUOTE WORKING SHEET'!#REF!</f>
        <v>#REF!</v>
      </c>
      <c r="F59" s="105" t="e">
        <f>+'QUOTE WORKING SHEET'!#REF!</f>
        <v>#REF!</v>
      </c>
      <c r="G59" s="105">
        <f>+'QUOTE WORKING SHEET'!C107</f>
        <v>0</v>
      </c>
      <c r="H59" s="105">
        <f>+'QUOTE WORKING SHEET'!D107</f>
        <v>0</v>
      </c>
      <c r="I59" s="105">
        <f>+'QUOTE WORKING SHEET'!E107</f>
        <v>0</v>
      </c>
      <c r="J59" s="105">
        <f>+'QUOTE WORKING SHEET'!F107</f>
        <v>0</v>
      </c>
      <c r="K59" s="105" t="e">
        <f>+'QUOTE WORKING SHEET'!#REF!</f>
        <v>#REF!</v>
      </c>
      <c r="L59" s="105">
        <f>+'QUOTE WORKING SHEET'!G107</f>
        <v>0</v>
      </c>
      <c r="M59" s="105">
        <f>+'QUOTE WORKING SHEET'!H107</f>
        <v>0</v>
      </c>
      <c r="N59" s="105">
        <f>+'QUOTE WORKING SHEET'!I107</f>
        <v>0</v>
      </c>
      <c r="O59" s="105">
        <f>+'QUOTE WORKING SHEET'!J107</f>
        <v>0</v>
      </c>
      <c r="P59" s="105" t="e">
        <f>+'QUOTE WORKING SHEET'!#REF!</f>
        <v>#REF!</v>
      </c>
      <c r="Q59" s="105" t="e">
        <f>+'QUOTE WORKING SHEET'!#REF!</f>
        <v>#REF!</v>
      </c>
      <c r="R59" s="105" t="e">
        <f>+'QUOTE WORKING SHEET'!#REF!</f>
        <v>#REF!</v>
      </c>
      <c r="S59" s="94">
        <f>+'QUOTE WORKING SHEET'!K107</f>
        <v>0</v>
      </c>
      <c r="T59" s="94">
        <f>+'QUOTE WORKING SHEET'!L107</f>
        <v>0</v>
      </c>
      <c r="U59" s="94">
        <f>+'QUOTE WORKING SHEET'!M107</f>
        <v>0</v>
      </c>
      <c r="V59" s="95">
        <f>+'QUOTE WORKING SHEET'!N107</f>
        <v>0</v>
      </c>
      <c r="W59" s="94">
        <f>+'QUOTE WORKING SHEET'!O107</f>
        <v>0</v>
      </c>
      <c r="X59" s="95">
        <f>+'QUOTE WORKING SHEET'!P107</f>
        <v>0</v>
      </c>
      <c r="Y59" s="94">
        <f>+'QUOTE WORKING SHEET'!Q107</f>
        <v>0</v>
      </c>
      <c r="Z59" s="95">
        <f>+'QUOTE WORKING SHEET'!R107</f>
        <v>0</v>
      </c>
      <c r="AA59" s="9"/>
      <c r="AB59" s="103"/>
      <c r="AC59" s="103"/>
      <c r="AD59" s="103"/>
    </row>
    <row r="60" spans="1:30" ht="168" customHeight="1" x14ac:dyDescent="0.25">
      <c r="A60" s="105">
        <f>+'QUOTE WORKING SHEET'!A108</f>
        <v>87</v>
      </c>
      <c r="B60" s="105" t="e">
        <f>+'QUOTE WORKING SHEET'!#REF!</f>
        <v>#REF!</v>
      </c>
      <c r="C60" s="105">
        <f>+'QUOTE WORKING SHEET'!B108</f>
        <v>0</v>
      </c>
      <c r="D60" s="105" t="e">
        <f>+'QUOTE WORKING SHEET'!#REF!</f>
        <v>#REF!</v>
      </c>
      <c r="E60" s="105" t="e">
        <f>+'QUOTE WORKING SHEET'!#REF!</f>
        <v>#REF!</v>
      </c>
      <c r="F60" s="105" t="e">
        <f>+'QUOTE WORKING SHEET'!#REF!</f>
        <v>#REF!</v>
      </c>
      <c r="G60" s="105">
        <f>+'QUOTE WORKING SHEET'!C108</f>
        <v>0</v>
      </c>
      <c r="H60" s="105">
        <f>+'QUOTE WORKING SHEET'!D108</f>
        <v>0</v>
      </c>
      <c r="I60" s="105">
        <f>+'QUOTE WORKING SHEET'!E108</f>
        <v>0</v>
      </c>
      <c r="J60" s="105">
        <f>+'QUOTE WORKING SHEET'!F108</f>
        <v>0</v>
      </c>
      <c r="K60" s="105" t="e">
        <f>+'QUOTE WORKING SHEET'!#REF!</f>
        <v>#REF!</v>
      </c>
      <c r="L60" s="105">
        <f>+'QUOTE WORKING SHEET'!G108</f>
        <v>0</v>
      </c>
      <c r="M60" s="105">
        <f>+'QUOTE WORKING SHEET'!H108</f>
        <v>0</v>
      </c>
      <c r="N60" s="105">
        <f>+'QUOTE WORKING SHEET'!I108</f>
        <v>0</v>
      </c>
      <c r="O60" s="105">
        <f>+'QUOTE WORKING SHEET'!J108</f>
        <v>0</v>
      </c>
      <c r="P60" s="105" t="e">
        <f>+'QUOTE WORKING SHEET'!#REF!</f>
        <v>#REF!</v>
      </c>
      <c r="Q60" s="105" t="e">
        <f>+'QUOTE WORKING SHEET'!#REF!</f>
        <v>#REF!</v>
      </c>
      <c r="R60" s="105" t="e">
        <f>+'QUOTE WORKING SHEET'!#REF!</f>
        <v>#REF!</v>
      </c>
      <c r="S60" s="94">
        <f>+'QUOTE WORKING SHEET'!K108</f>
        <v>0</v>
      </c>
      <c r="T60" s="94">
        <f>+'QUOTE WORKING SHEET'!L108</f>
        <v>0</v>
      </c>
      <c r="U60" s="94">
        <f>+'QUOTE WORKING SHEET'!M108</f>
        <v>0</v>
      </c>
      <c r="V60" s="95">
        <f>+'QUOTE WORKING SHEET'!N108</f>
        <v>0</v>
      </c>
      <c r="W60" s="94">
        <f>+'QUOTE WORKING SHEET'!O108</f>
        <v>0</v>
      </c>
      <c r="X60" s="95">
        <f>+'QUOTE WORKING SHEET'!P108</f>
        <v>0</v>
      </c>
      <c r="Y60" s="94">
        <f>+'QUOTE WORKING SHEET'!Q108</f>
        <v>0</v>
      </c>
      <c r="Z60" s="95">
        <f>+'QUOTE WORKING SHEET'!R108</f>
        <v>0</v>
      </c>
      <c r="AA60" s="9"/>
      <c r="AB60" s="103"/>
      <c r="AC60" s="103"/>
      <c r="AD60" s="103"/>
    </row>
    <row r="61" spans="1:30" ht="168" customHeight="1" x14ac:dyDescent="0.25">
      <c r="A61" s="105">
        <f>+'QUOTE WORKING SHEET'!A109</f>
        <v>88</v>
      </c>
      <c r="B61" s="105" t="e">
        <f>+'QUOTE WORKING SHEET'!#REF!</f>
        <v>#REF!</v>
      </c>
      <c r="C61" s="105">
        <f>+'QUOTE WORKING SHEET'!B109</f>
        <v>0</v>
      </c>
      <c r="D61" s="105" t="e">
        <f>+'QUOTE WORKING SHEET'!#REF!</f>
        <v>#REF!</v>
      </c>
      <c r="E61" s="105" t="e">
        <f>+'QUOTE WORKING SHEET'!#REF!</f>
        <v>#REF!</v>
      </c>
      <c r="F61" s="105" t="e">
        <f>+'QUOTE WORKING SHEET'!#REF!</f>
        <v>#REF!</v>
      </c>
      <c r="G61" s="105">
        <f>+'QUOTE WORKING SHEET'!C109</f>
        <v>0</v>
      </c>
      <c r="H61" s="105">
        <f>+'QUOTE WORKING SHEET'!D109</f>
        <v>0</v>
      </c>
      <c r="I61" s="105">
        <f>+'QUOTE WORKING SHEET'!E109</f>
        <v>0</v>
      </c>
      <c r="J61" s="105">
        <f>+'QUOTE WORKING SHEET'!F109</f>
        <v>0</v>
      </c>
      <c r="K61" s="105" t="e">
        <f>+'QUOTE WORKING SHEET'!#REF!</f>
        <v>#REF!</v>
      </c>
      <c r="L61" s="105">
        <f>+'QUOTE WORKING SHEET'!G109</f>
        <v>0</v>
      </c>
      <c r="M61" s="105">
        <f>+'QUOTE WORKING SHEET'!H109</f>
        <v>0</v>
      </c>
      <c r="N61" s="105">
        <f>+'QUOTE WORKING SHEET'!I109</f>
        <v>0</v>
      </c>
      <c r="O61" s="105">
        <f>+'QUOTE WORKING SHEET'!J109</f>
        <v>0</v>
      </c>
      <c r="P61" s="105" t="e">
        <f>+'QUOTE WORKING SHEET'!#REF!</f>
        <v>#REF!</v>
      </c>
      <c r="Q61" s="105" t="e">
        <f>+'QUOTE WORKING SHEET'!#REF!</f>
        <v>#REF!</v>
      </c>
      <c r="R61" s="105" t="e">
        <f>+'QUOTE WORKING SHEET'!#REF!</f>
        <v>#REF!</v>
      </c>
      <c r="S61" s="94">
        <f>+'QUOTE WORKING SHEET'!K109</f>
        <v>0</v>
      </c>
      <c r="T61" s="94">
        <f>+'QUOTE WORKING SHEET'!L109</f>
        <v>0</v>
      </c>
      <c r="U61" s="94">
        <f>+'QUOTE WORKING SHEET'!M109</f>
        <v>0</v>
      </c>
      <c r="V61" s="95">
        <f>+'QUOTE WORKING SHEET'!N109</f>
        <v>0</v>
      </c>
      <c r="W61" s="94">
        <f>+'QUOTE WORKING SHEET'!O109</f>
        <v>0</v>
      </c>
      <c r="X61" s="95">
        <f>+'QUOTE WORKING SHEET'!P109</f>
        <v>0</v>
      </c>
      <c r="Y61" s="94">
        <f>+'QUOTE WORKING SHEET'!Q109</f>
        <v>0</v>
      </c>
      <c r="Z61" s="95">
        <f>+'QUOTE WORKING SHEET'!R109</f>
        <v>0</v>
      </c>
      <c r="AA61" s="9"/>
      <c r="AB61" s="103"/>
      <c r="AC61" s="103"/>
      <c r="AD61" s="103"/>
    </row>
    <row r="62" spans="1:30" ht="168" customHeight="1" x14ac:dyDescent="0.25">
      <c r="A62" s="105">
        <f>+'QUOTE WORKING SHEET'!A110</f>
        <v>89</v>
      </c>
      <c r="B62" s="105" t="e">
        <f>+'QUOTE WORKING SHEET'!#REF!</f>
        <v>#REF!</v>
      </c>
      <c r="C62" s="105">
        <f>+'QUOTE WORKING SHEET'!B110</f>
        <v>0</v>
      </c>
      <c r="D62" s="105" t="e">
        <f>+'QUOTE WORKING SHEET'!#REF!</f>
        <v>#REF!</v>
      </c>
      <c r="E62" s="105" t="e">
        <f>+'QUOTE WORKING SHEET'!#REF!</f>
        <v>#REF!</v>
      </c>
      <c r="F62" s="105" t="e">
        <f>+'QUOTE WORKING SHEET'!#REF!</f>
        <v>#REF!</v>
      </c>
      <c r="G62" s="105">
        <f>+'QUOTE WORKING SHEET'!C110</f>
        <v>0</v>
      </c>
      <c r="H62" s="105">
        <f>+'QUOTE WORKING SHEET'!D110</f>
        <v>0</v>
      </c>
      <c r="I62" s="105">
        <f>+'QUOTE WORKING SHEET'!E110</f>
        <v>0</v>
      </c>
      <c r="J62" s="105">
        <f>+'QUOTE WORKING SHEET'!F110</f>
        <v>0</v>
      </c>
      <c r="K62" s="105" t="e">
        <f>+'QUOTE WORKING SHEET'!#REF!</f>
        <v>#REF!</v>
      </c>
      <c r="L62" s="105">
        <f>+'QUOTE WORKING SHEET'!G110</f>
        <v>0</v>
      </c>
      <c r="M62" s="105">
        <f>+'QUOTE WORKING SHEET'!H110</f>
        <v>0</v>
      </c>
      <c r="N62" s="105">
        <f>+'QUOTE WORKING SHEET'!I110</f>
        <v>0</v>
      </c>
      <c r="O62" s="105">
        <f>+'QUOTE WORKING SHEET'!J110</f>
        <v>0</v>
      </c>
      <c r="P62" s="105" t="e">
        <f>+'QUOTE WORKING SHEET'!#REF!</f>
        <v>#REF!</v>
      </c>
      <c r="Q62" s="105" t="e">
        <f>+'QUOTE WORKING SHEET'!#REF!</f>
        <v>#REF!</v>
      </c>
      <c r="R62" s="105" t="e">
        <f>+'QUOTE WORKING SHEET'!#REF!</f>
        <v>#REF!</v>
      </c>
      <c r="S62" s="94">
        <f>+'QUOTE WORKING SHEET'!K110</f>
        <v>0</v>
      </c>
      <c r="T62" s="94">
        <f>+'QUOTE WORKING SHEET'!L110</f>
        <v>0</v>
      </c>
      <c r="U62" s="94">
        <f>+'QUOTE WORKING SHEET'!M110</f>
        <v>0</v>
      </c>
      <c r="V62" s="95">
        <f>+'QUOTE WORKING SHEET'!N110</f>
        <v>0</v>
      </c>
      <c r="W62" s="94">
        <f>+'QUOTE WORKING SHEET'!O110</f>
        <v>0</v>
      </c>
      <c r="X62" s="95">
        <f>+'QUOTE WORKING SHEET'!P110</f>
        <v>0</v>
      </c>
      <c r="Y62" s="94">
        <f>+'QUOTE WORKING SHEET'!Q110</f>
        <v>0</v>
      </c>
      <c r="Z62" s="95">
        <f>+'QUOTE WORKING SHEET'!R110</f>
        <v>0</v>
      </c>
      <c r="AA62" s="9"/>
      <c r="AB62" s="103"/>
      <c r="AC62" s="103"/>
      <c r="AD62" s="103"/>
    </row>
    <row r="63" spans="1:30" ht="168" customHeight="1" x14ac:dyDescent="0.25">
      <c r="A63" s="105">
        <f>+'QUOTE WORKING SHEET'!A111</f>
        <v>90</v>
      </c>
      <c r="B63" s="105" t="e">
        <f>+'QUOTE WORKING SHEET'!#REF!</f>
        <v>#REF!</v>
      </c>
      <c r="C63" s="105">
        <f>+'QUOTE WORKING SHEET'!B111</f>
        <v>0</v>
      </c>
      <c r="D63" s="105" t="e">
        <f>+'QUOTE WORKING SHEET'!#REF!</f>
        <v>#REF!</v>
      </c>
      <c r="E63" s="105" t="e">
        <f>+'QUOTE WORKING SHEET'!#REF!</f>
        <v>#REF!</v>
      </c>
      <c r="F63" s="105" t="e">
        <f>+'QUOTE WORKING SHEET'!#REF!</f>
        <v>#REF!</v>
      </c>
      <c r="G63" s="105">
        <f>+'QUOTE WORKING SHEET'!C111</f>
        <v>0</v>
      </c>
      <c r="H63" s="105">
        <f>+'QUOTE WORKING SHEET'!D111</f>
        <v>0</v>
      </c>
      <c r="I63" s="105">
        <f>+'QUOTE WORKING SHEET'!E111</f>
        <v>0</v>
      </c>
      <c r="J63" s="105">
        <f>+'QUOTE WORKING SHEET'!F111</f>
        <v>0</v>
      </c>
      <c r="K63" s="105" t="e">
        <f>+'QUOTE WORKING SHEET'!#REF!</f>
        <v>#REF!</v>
      </c>
      <c r="L63" s="105">
        <f>+'QUOTE WORKING SHEET'!G111</f>
        <v>0</v>
      </c>
      <c r="M63" s="105">
        <f>+'QUOTE WORKING SHEET'!H111</f>
        <v>0</v>
      </c>
      <c r="N63" s="105">
        <f>+'QUOTE WORKING SHEET'!I111</f>
        <v>0</v>
      </c>
      <c r="O63" s="105">
        <f>+'QUOTE WORKING SHEET'!J111</f>
        <v>0</v>
      </c>
      <c r="P63" s="105" t="e">
        <f>+'QUOTE WORKING SHEET'!#REF!</f>
        <v>#REF!</v>
      </c>
      <c r="Q63" s="105" t="e">
        <f>+'QUOTE WORKING SHEET'!#REF!</f>
        <v>#REF!</v>
      </c>
      <c r="R63" s="105" t="e">
        <f>+'QUOTE WORKING SHEET'!#REF!</f>
        <v>#REF!</v>
      </c>
      <c r="S63" s="94">
        <f>+'QUOTE WORKING SHEET'!K111</f>
        <v>0</v>
      </c>
      <c r="T63" s="94">
        <f>+'QUOTE WORKING SHEET'!L111</f>
        <v>0</v>
      </c>
      <c r="U63" s="94">
        <f>+'QUOTE WORKING SHEET'!M111</f>
        <v>0</v>
      </c>
      <c r="V63" s="95">
        <f>+'QUOTE WORKING SHEET'!N111</f>
        <v>0</v>
      </c>
      <c r="W63" s="94">
        <f>+'QUOTE WORKING SHEET'!O111</f>
        <v>0</v>
      </c>
      <c r="X63" s="95">
        <f>+'QUOTE WORKING SHEET'!P111</f>
        <v>0</v>
      </c>
      <c r="Y63" s="94">
        <f>+'QUOTE WORKING SHEET'!Q111</f>
        <v>0</v>
      </c>
      <c r="Z63" s="95">
        <f>+'QUOTE WORKING SHEET'!R111</f>
        <v>0</v>
      </c>
      <c r="AA63" s="9"/>
      <c r="AB63" s="103"/>
      <c r="AC63" s="103"/>
      <c r="AD63" s="103"/>
    </row>
    <row r="64" spans="1:30" ht="168" customHeight="1" x14ac:dyDescent="0.25">
      <c r="A64" s="105">
        <f>+'QUOTE WORKING SHEET'!A112</f>
        <v>91</v>
      </c>
      <c r="B64" s="105" t="e">
        <f>+'QUOTE WORKING SHEET'!#REF!</f>
        <v>#REF!</v>
      </c>
      <c r="C64" s="105">
        <f>+'QUOTE WORKING SHEET'!B112</f>
        <v>0</v>
      </c>
      <c r="D64" s="105" t="e">
        <f>+'QUOTE WORKING SHEET'!#REF!</f>
        <v>#REF!</v>
      </c>
      <c r="E64" s="105" t="e">
        <f>+'QUOTE WORKING SHEET'!#REF!</f>
        <v>#REF!</v>
      </c>
      <c r="F64" s="105" t="e">
        <f>+'QUOTE WORKING SHEET'!#REF!</f>
        <v>#REF!</v>
      </c>
      <c r="G64" s="105">
        <f>+'QUOTE WORKING SHEET'!C112</f>
        <v>0</v>
      </c>
      <c r="H64" s="105">
        <f>+'QUOTE WORKING SHEET'!D112</f>
        <v>0</v>
      </c>
      <c r="I64" s="105">
        <f>+'QUOTE WORKING SHEET'!E112</f>
        <v>0</v>
      </c>
      <c r="J64" s="105">
        <f>+'QUOTE WORKING SHEET'!F112</f>
        <v>0</v>
      </c>
      <c r="K64" s="105" t="e">
        <f>+'QUOTE WORKING SHEET'!#REF!</f>
        <v>#REF!</v>
      </c>
      <c r="L64" s="105">
        <f>+'QUOTE WORKING SHEET'!G112</f>
        <v>0</v>
      </c>
      <c r="M64" s="105">
        <f>+'QUOTE WORKING SHEET'!H112</f>
        <v>0</v>
      </c>
      <c r="N64" s="105">
        <f>+'QUOTE WORKING SHEET'!I112</f>
        <v>0</v>
      </c>
      <c r="O64" s="105">
        <f>+'QUOTE WORKING SHEET'!J112</f>
        <v>0</v>
      </c>
      <c r="P64" s="105" t="e">
        <f>+'QUOTE WORKING SHEET'!#REF!</f>
        <v>#REF!</v>
      </c>
      <c r="Q64" s="105" t="e">
        <f>+'QUOTE WORKING SHEET'!#REF!</f>
        <v>#REF!</v>
      </c>
      <c r="R64" s="105" t="e">
        <f>+'QUOTE WORKING SHEET'!#REF!</f>
        <v>#REF!</v>
      </c>
      <c r="S64" s="94">
        <f>+'QUOTE WORKING SHEET'!K112</f>
        <v>0</v>
      </c>
      <c r="T64" s="94">
        <f>+'QUOTE WORKING SHEET'!L112</f>
        <v>0</v>
      </c>
      <c r="U64" s="94">
        <f>+'QUOTE WORKING SHEET'!M112</f>
        <v>0</v>
      </c>
      <c r="V64" s="95">
        <f>+'QUOTE WORKING SHEET'!N112</f>
        <v>0</v>
      </c>
      <c r="W64" s="94">
        <f>+'QUOTE WORKING SHEET'!O112</f>
        <v>0</v>
      </c>
      <c r="X64" s="95">
        <f>+'QUOTE WORKING SHEET'!P112</f>
        <v>0</v>
      </c>
      <c r="Y64" s="94">
        <f>+'QUOTE WORKING SHEET'!Q112</f>
        <v>0</v>
      </c>
      <c r="Z64" s="95">
        <f>+'QUOTE WORKING SHEET'!R112</f>
        <v>0</v>
      </c>
      <c r="AA64" s="9"/>
      <c r="AB64" s="103"/>
      <c r="AC64" s="103"/>
      <c r="AD64" s="103"/>
    </row>
    <row r="65" spans="1:30" ht="168" customHeight="1" x14ac:dyDescent="0.25">
      <c r="A65" s="105">
        <f>+'QUOTE WORKING SHEET'!A113</f>
        <v>92</v>
      </c>
      <c r="B65" s="105" t="e">
        <f>+'QUOTE WORKING SHEET'!#REF!</f>
        <v>#REF!</v>
      </c>
      <c r="C65" s="105">
        <f>+'QUOTE WORKING SHEET'!B113</f>
        <v>0</v>
      </c>
      <c r="D65" s="105" t="e">
        <f>+'QUOTE WORKING SHEET'!#REF!</f>
        <v>#REF!</v>
      </c>
      <c r="E65" s="105" t="e">
        <f>+'QUOTE WORKING SHEET'!#REF!</f>
        <v>#REF!</v>
      </c>
      <c r="F65" s="105" t="e">
        <f>+'QUOTE WORKING SHEET'!#REF!</f>
        <v>#REF!</v>
      </c>
      <c r="G65" s="105">
        <f>+'QUOTE WORKING SHEET'!C113</f>
        <v>0</v>
      </c>
      <c r="H65" s="105">
        <f>+'QUOTE WORKING SHEET'!D113</f>
        <v>0</v>
      </c>
      <c r="I65" s="105">
        <f>+'QUOTE WORKING SHEET'!E113</f>
        <v>0</v>
      </c>
      <c r="J65" s="105">
        <f>+'QUOTE WORKING SHEET'!F113</f>
        <v>0</v>
      </c>
      <c r="K65" s="105" t="e">
        <f>+'QUOTE WORKING SHEET'!#REF!</f>
        <v>#REF!</v>
      </c>
      <c r="L65" s="105">
        <f>+'QUOTE WORKING SHEET'!G113</f>
        <v>0</v>
      </c>
      <c r="M65" s="105">
        <f>+'QUOTE WORKING SHEET'!H113</f>
        <v>0</v>
      </c>
      <c r="N65" s="105">
        <f>+'QUOTE WORKING SHEET'!I113</f>
        <v>0</v>
      </c>
      <c r="O65" s="105">
        <f>+'QUOTE WORKING SHEET'!J113</f>
        <v>0</v>
      </c>
      <c r="P65" s="105" t="e">
        <f>+'QUOTE WORKING SHEET'!#REF!</f>
        <v>#REF!</v>
      </c>
      <c r="Q65" s="105" t="e">
        <f>+'QUOTE WORKING SHEET'!#REF!</f>
        <v>#REF!</v>
      </c>
      <c r="R65" s="105" t="e">
        <f>+'QUOTE WORKING SHEET'!#REF!</f>
        <v>#REF!</v>
      </c>
      <c r="S65" s="94">
        <f>+'QUOTE WORKING SHEET'!K113</f>
        <v>0</v>
      </c>
      <c r="T65" s="94">
        <f>+'QUOTE WORKING SHEET'!L113</f>
        <v>0</v>
      </c>
      <c r="U65" s="94">
        <f>+'QUOTE WORKING SHEET'!M113</f>
        <v>0</v>
      </c>
      <c r="V65" s="95">
        <f>+'QUOTE WORKING SHEET'!N113</f>
        <v>0</v>
      </c>
      <c r="W65" s="94">
        <f>+'QUOTE WORKING SHEET'!O113</f>
        <v>0</v>
      </c>
      <c r="X65" s="95">
        <f>+'QUOTE WORKING SHEET'!P113</f>
        <v>0</v>
      </c>
      <c r="Y65" s="94">
        <f>+'QUOTE WORKING SHEET'!Q113</f>
        <v>0</v>
      </c>
      <c r="Z65" s="95">
        <f>+'QUOTE WORKING SHEET'!R113</f>
        <v>0</v>
      </c>
      <c r="AA65" s="9"/>
      <c r="AB65" s="103"/>
      <c r="AC65" s="103"/>
      <c r="AD65" s="103"/>
    </row>
    <row r="66" spans="1:30" ht="168" customHeight="1" x14ac:dyDescent="0.25">
      <c r="A66" s="105">
        <f>+'QUOTE WORKING SHEET'!A114</f>
        <v>93</v>
      </c>
      <c r="B66" s="105" t="e">
        <f>+'QUOTE WORKING SHEET'!#REF!</f>
        <v>#REF!</v>
      </c>
      <c r="C66" s="105">
        <f>+'QUOTE WORKING SHEET'!B114</f>
        <v>0</v>
      </c>
      <c r="D66" s="105" t="e">
        <f>+'QUOTE WORKING SHEET'!#REF!</f>
        <v>#REF!</v>
      </c>
      <c r="E66" s="105" t="e">
        <f>+'QUOTE WORKING SHEET'!#REF!</f>
        <v>#REF!</v>
      </c>
      <c r="F66" s="105" t="e">
        <f>+'QUOTE WORKING SHEET'!#REF!</f>
        <v>#REF!</v>
      </c>
      <c r="G66" s="105">
        <f>+'QUOTE WORKING SHEET'!C114</f>
        <v>0</v>
      </c>
      <c r="H66" s="105">
        <f>+'QUOTE WORKING SHEET'!D114</f>
        <v>0</v>
      </c>
      <c r="I66" s="105">
        <f>+'QUOTE WORKING SHEET'!E114</f>
        <v>0</v>
      </c>
      <c r="J66" s="105">
        <f>+'QUOTE WORKING SHEET'!F114</f>
        <v>0</v>
      </c>
      <c r="K66" s="105" t="e">
        <f>+'QUOTE WORKING SHEET'!#REF!</f>
        <v>#REF!</v>
      </c>
      <c r="L66" s="105">
        <f>+'QUOTE WORKING SHEET'!G114</f>
        <v>0</v>
      </c>
      <c r="M66" s="105">
        <f>+'QUOTE WORKING SHEET'!H114</f>
        <v>0</v>
      </c>
      <c r="N66" s="105">
        <f>+'QUOTE WORKING SHEET'!I114</f>
        <v>0</v>
      </c>
      <c r="O66" s="105">
        <f>+'QUOTE WORKING SHEET'!J114</f>
        <v>0</v>
      </c>
      <c r="P66" s="105" t="e">
        <f>+'QUOTE WORKING SHEET'!#REF!</f>
        <v>#REF!</v>
      </c>
      <c r="Q66" s="105" t="e">
        <f>+'QUOTE WORKING SHEET'!#REF!</f>
        <v>#REF!</v>
      </c>
      <c r="R66" s="105" t="e">
        <f>+'QUOTE WORKING SHEET'!#REF!</f>
        <v>#REF!</v>
      </c>
      <c r="S66" s="94">
        <f>+'QUOTE WORKING SHEET'!K114</f>
        <v>0</v>
      </c>
      <c r="T66" s="94">
        <f>+'QUOTE WORKING SHEET'!L114</f>
        <v>0</v>
      </c>
      <c r="U66" s="94">
        <f>+'QUOTE WORKING SHEET'!M114</f>
        <v>0</v>
      </c>
      <c r="V66" s="95">
        <f>+'QUOTE WORKING SHEET'!N114</f>
        <v>0</v>
      </c>
      <c r="W66" s="94">
        <f>+'QUOTE WORKING SHEET'!O114</f>
        <v>0</v>
      </c>
      <c r="X66" s="95">
        <f>+'QUOTE WORKING SHEET'!P114</f>
        <v>0</v>
      </c>
      <c r="Y66" s="94">
        <f>+'QUOTE WORKING SHEET'!Q114</f>
        <v>0</v>
      </c>
      <c r="Z66" s="95">
        <f>+'QUOTE WORKING SHEET'!R114</f>
        <v>0</v>
      </c>
      <c r="AA66" s="9"/>
      <c r="AB66" s="103"/>
      <c r="AC66" s="103"/>
      <c r="AD66" s="103"/>
    </row>
    <row r="67" spans="1:30" ht="168" customHeight="1" x14ac:dyDescent="0.25">
      <c r="A67" s="105">
        <f>+'QUOTE WORKING SHEET'!A115</f>
        <v>94</v>
      </c>
      <c r="B67" s="105" t="e">
        <f>+'QUOTE WORKING SHEET'!#REF!</f>
        <v>#REF!</v>
      </c>
      <c r="C67" s="105">
        <f>+'QUOTE WORKING SHEET'!B115</f>
        <v>0</v>
      </c>
      <c r="D67" s="105" t="e">
        <f>+'QUOTE WORKING SHEET'!#REF!</f>
        <v>#REF!</v>
      </c>
      <c r="E67" s="105" t="e">
        <f>+'QUOTE WORKING SHEET'!#REF!</f>
        <v>#REF!</v>
      </c>
      <c r="F67" s="105" t="e">
        <f>+'QUOTE WORKING SHEET'!#REF!</f>
        <v>#REF!</v>
      </c>
      <c r="G67" s="105">
        <f>+'QUOTE WORKING SHEET'!C115</f>
        <v>0</v>
      </c>
      <c r="H67" s="105">
        <f>+'QUOTE WORKING SHEET'!D115</f>
        <v>0</v>
      </c>
      <c r="I67" s="105">
        <f>+'QUOTE WORKING SHEET'!E115</f>
        <v>0</v>
      </c>
      <c r="J67" s="105">
        <f>+'QUOTE WORKING SHEET'!F115</f>
        <v>0</v>
      </c>
      <c r="K67" s="105" t="e">
        <f>+'QUOTE WORKING SHEET'!#REF!</f>
        <v>#REF!</v>
      </c>
      <c r="L67" s="105">
        <f>+'QUOTE WORKING SHEET'!G115</f>
        <v>0</v>
      </c>
      <c r="M67" s="105">
        <f>+'QUOTE WORKING SHEET'!H115</f>
        <v>0</v>
      </c>
      <c r="N67" s="105">
        <f>+'QUOTE WORKING SHEET'!I115</f>
        <v>0</v>
      </c>
      <c r="O67" s="105">
        <f>+'QUOTE WORKING SHEET'!J115</f>
        <v>0</v>
      </c>
      <c r="P67" s="105" t="e">
        <f>+'QUOTE WORKING SHEET'!#REF!</f>
        <v>#REF!</v>
      </c>
      <c r="Q67" s="105" t="e">
        <f>+'QUOTE WORKING SHEET'!#REF!</f>
        <v>#REF!</v>
      </c>
      <c r="R67" s="105" t="e">
        <f>+'QUOTE WORKING SHEET'!#REF!</f>
        <v>#REF!</v>
      </c>
      <c r="S67" s="94">
        <f>+'QUOTE WORKING SHEET'!K115</f>
        <v>0</v>
      </c>
      <c r="T67" s="94">
        <f>+'QUOTE WORKING SHEET'!L115</f>
        <v>0</v>
      </c>
      <c r="U67" s="94">
        <f>+'QUOTE WORKING SHEET'!M115</f>
        <v>0</v>
      </c>
      <c r="V67" s="95">
        <f>+'QUOTE WORKING SHEET'!N115</f>
        <v>0</v>
      </c>
      <c r="W67" s="94">
        <f>+'QUOTE WORKING SHEET'!O115</f>
        <v>0</v>
      </c>
      <c r="X67" s="95">
        <f>+'QUOTE WORKING SHEET'!P115</f>
        <v>0</v>
      </c>
      <c r="Y67" s="94">
        <f>+'QUOTE WORKING SHEET'!Q115</f>
        <v>0</v>
      </c>
      <c r="Z67" s="95">
        <f>+'QUOTE WORKING SHEET'!R115</f>
        <v>0</v>
      </c>
      <c r="AA67" s="9"/>
      <c r="AB67" s="103"/>
      <c r="AC67" s="103"/>
      <c r="AD67" s="103"/>
    </row>
    <row r="68" spans="1:30" ht="168" customHeight="1" x14ac:dyDescent="0.25">
      <c r="A68" s="105">
        <f>+'QUOTE WORKING SHEET'!A116</f>
        <v>95</v>
      </c>
      <c r="B68" s="105" t="e">
        <f>+'QUOTE WORKING SHEET'!#REF!</f>
        <v>#REF!</v>
      </c>
      <c r="C68" s="105">
        <f>+'QUOTE WORKING SHEET'!B116</f>
        <v>0</v>
      </c>
      <c r="D68" s="105" t="e">
        <f>+'QUOTE WORKING SHEET'!#REF!</f>
        <v>#REF!</v>
      </c>
      <c r="E68" s="105" t="e">
        <f>+'QUOTE WORKING SHEET'!#REF!</f>
        <v>#REF!</v>
      </c>
      <c r="F68" s="105" t="e">
        <f>+'QUOTE WORKING SHEET'!#REF!</f>
        <v>#REF!</v>
      </c>
      <c r="G68" s="105">
        <f>+'QUOTE WORKING SHEET'!C116</f>
        <v>0</v>
      </c>
      <c r="H68" s="105">
        <f>+'QUOTE WORKING SHEET'!D116</f>
        <v>0</v>
      </c>
      <c r="I68" s="105">
        <f>+'QUOTE WORKING SHEET'!E116</f>
        <v>0</v>
      </c>
      <c r="J68" s="105">
        <f>+'QUOTE WORKING SHEET'!F116</f>
        <v>0</v>
      </c>
      <c r="K68" s="105" t="e">
        <f>+'QUOTE WORKING SHEET'!#REF!</f>
        <v>#REF!</v>
      </c>
      <c r="L68" s="105">
        <f>+'QUOTE WORKING SHEET'!G116</f>
        <v>0</v>
      </c>
      <c r="M68" s="105">
        <f>+'QUOTE WORKING SHEET'!H116</f>
        <v>0</v>
      </c>
      <c r="N68" s="105">
        <f>+'QUOTE WORKING SHEET'!I116</f>
        <v>0</v>
      </c>
      <c r="O68" s="105">
        <f>+'QUOTE WORKING SHEET'!J116</f>
        <v>0</v>
      </c>
      <c r="P68" s="105" t="e">
        <f>+'QUOTE WORKING SHEET'!#REF!</f>
        <v>#REF!</v>
      </c>
      <c r="Q68" s="105" t="e">
        <f>+'QUOTE WORKING SHEET'!#REF!</f>
        <v>#REF!</v>
      </c>
      <c r="R68" s="105" t="e">
        <f>+'QUOTE WORKING SHEET'!#REF!</f>
        <v>#REF!</v>
      </c>
      <c r="S68" s="94">
        <f>+'QUOTE WORKING SHEET'!K116</f>
        <v>0</v>
      </c>
      <c r="T68" s="94">
        <f>+'QUOTE WORKING SHEET'!L116</f>
        <v>0</v>
      </c>
      <c r="U68" s="94">
        <f>+'QUOTE WORKING SHEET'!M116</f>
        <v>0</v>
      </c>
      <c r="V68" s="95">
        <f>+'QUOTE WORKING SHEET'!N116</f>
        <v>0</v>
      </c>
      <c r="W68" s="94">
        <f>+'QUOTE WORKING SHEET'!O116</f>
        <v>0</v>
      </c>
      <c r="X68" s="95">
        <f>+'QUOTE WORKING SHEET'!P116</f>
        <v>0</v>
      </c>
      <c r="Y68" s="94">
        <f>+'QUOTE WORKING SHEET'!Q116</f>
        <v>0</v>
      </c>
      <c r="Z68" s="95">
        <f>+'QUOTE WORKING SHEET'!R116</f>
        <v>0</v>
      </c>
      <c r="AA68" s="9"/>
      <c r="AB68" s="103"/>
      <c r="AC68" s="103"/>
      <c r="AD68" s="103"/>
    </row>
    <row r="69" spans="1:30" ht="168" customHeight="1" x14ac:dyDescent="0.25">
      <c r="A69" s="105">
        <f>+'QUOTE WORKING SHEET'!A117</f>
        <v>96</v>
      </c>
      <c r="B69" s="105" t="e">
        <f>+'QUOTE WORKING SHEET'!#REF!</f>
        <v>#REF!</v>
      </c>
      <c r="C69" s="105">
        <f>+'QUOTE WORKING SHEET'!B117</f>
        <v>0</v>
      </c>
      <c r="D69" s="105" t="e">
        <f>+'QUOTE WORKING SHEET'!#REF!</f>
        <v>#REF!</v>
      </c>
      <c r="E69" s="105" t="e">
        <f>+'QUOTE WORKING SHEET'!#REF!</f>
        <v>#REF!</v>
      </c>
      <c r="F69" s="105" t="e">
        <f>+'QUOTE WORKING SHEET'!#REF!</f>
        <v>#REF!</v>
      </c>
      <c r="G69" s="105">
        <f>+'QUOTE WORKING SHEET'!C117</f>
        <v>0</v>
      </c>
      <c r="H69" s="105">
        <f>+'QUOTE WORKING SHEET'!D117</f>
        <v>0</v>
      </c>
      <c r="I69" s="105">
        <f>+'QUOTE WORKING SHEET'!E117</f>
        <v>0</v>
      </c>
      <c r="J69" s="105">
        <f>+'QUOTE WORKING SHEET'!F117</f>
        <v>0</v>
      </c>
      <c r="K69" s="105" t="e">
        <f>+'QUOTE WORKING SHEET'!#REF!</f>
        <v>#REF!</v>
      </c>
      <c r="L69" s="105">
        <f>+'QUOTE WORKING SHEET'!G117</f>
        <v>0</v>
      </c>
      <c r="M69" s="105">
        <f>+'QUOTE WORKING SHEET'!H117</f>
        <v>0</v>
      </c>
      <c r="N69" s="105">
        <f>+'QUOTE WORKING SHEET'!I117</f>
        <v>0</v>
      </c>
      <c r="O69" s="105">
        <f>+'QUOTE WORKING SHEET'!J117</f>
        <v>0</v>
      </c>
      <c r="P69" s="105" t="e">
        <f>+'QUOTE WORKING SHEET'!#REF!</f>
        <v>#REF!</v>
      </c>
      <c r="Q69" s="105" t="e">
        <f>+'QUOTE WORKING SHEET'!#REF!</f>
        <v>#REF!</v>
      </c>
      <c r="R69" s="105" t="e">
        <f>+'QUOTE WORKING SHEET'!#REF!</f>
        <v>#REF!</v>
      </c>
      <c r="S69" s="94">
        <f>+'QUOTE WORKING SHEET'!K117</f>
        <v>0</v>
      </c>
      <c r="T69" s="94">
        <f>+'QUOTE WORKING SHEET'!L117</f>
        <v>0</v>
      </c>
      <c r="U69" s="94">
        <f>+'QUOTE WORKING SHEET'!M117</f>
        <v>0</v>
      </c>
      <c r="V69" s="95">
        <f>+'QUOTE WORKING SHEET'!N117</f>
        <v>0</v>
      </c>
      <c r="W69" s="94">
        <f>+'QUOTE WORKING SHEET'!O117</f>
        <v>0</v>
      </c>
      <c r="X69" s="95">
        <f>+'QUOTE WORKING SHEET'!P117</f>
        <v>0</v>
      </c>
      <c r="Y69" s="94">
        <f>+'QUOTE WORKING SHEET'!Q117</f>
        <v>0</v>
      </c>
      <c r="Z69" s="95">
        <f>+'QUOTE WORKING SHEET'!R117</f>
        <v>0</v>
      </c>
      <c r="AA69" s="9"/>
      <c r="AB69" s="103"/>
      <c r="AC69" s="103"/>
      <c r="AD69" s="103"/>
    </row>
    <row r="70" spans="1:30" ht="168" customHeight="1" x14ac:dyDescent="0.25">
      <c r="A70" s="105">
        <f>+'QUOTE WORKING SHEET'!A120</f>
        <v>99</v>
      </c>
      <c r="B70" s="105" t="e">
        <f>+'QUOTE WORKING SHEET'!#REF!</f>
        <v>#REF!</v>
      </c>
      <c r="C70" s="105">
        <f>+'QUOTE WORKING SHEET'!B120</f>
        <v>0</v>
      </c>
      <c r="D70" s="105" t="e">
        <f>+'QUOTE WORKING SHEET'!#REF!</f>
        <v>#REF!</v>
      </c>
      <c r="E70" s="105" t="e">
        <f>+'QUOTE WORKING SHEET'!#REF!</f>
        <v>#REF!</v>
      </c>
      <c r="F70" s="105" t="e">
        <f>+'QUOTE WORKING SHEET'!#REF!</f>
        <v>#REF!</v>
      </c>
      <c r="G70" s="105">
        <f>+'QUOTE WORKING SHEET'!C120</f>
        <v>0</v>
      </c>
      <c r="H70" s="105">
        <f>+'QUOTE WORKING SHEET'!D120</f>
        <v>0</v>
      </c>
      <c r="I70" s="105">
        <f>+'QUOTE WORKING SHEET'!E120</f>
        <v>0</v>
      </c>
      <c r="J70" s="105">
        <f>+'QUOTE WORKING SHEET'!F120</f>
        <v>0</v>
      </c>
      <c r="K70" s="105" t="e">
        <f>+'QUOTE WORKING SHEET'!#REF!</f>
        <v>#REF!</v>
      </c>
      <c r="L70" s="105">
        <f>+'QUOTE WORKING SHEET'!G120</f>
        <v>0</v>
      </c>
      <c r="M70" s="105">
        <f>+'QUOTE WORKING SHEET'!H120</f>
        <v>0</v>
      </c>
      <c r="N70" s="105">
        <f>+'QUOTE WORKING SHEET'!I120</f>
        <v>0</v>
      </c>
      <c r="O70" s="105">
        <f>+'QUOTE WORKING SHEET'!J120</f>
        <v>0</v>
      </c>
      <c r="P70" s="105" t="e">
        <f>+'QUOTE WORKING SHEET'!#REF!</f>
        <v>#REF!</v>
      </c>
      <c r="Q70" s="105" t="e">
        <f>+'QUOTE WORKING SHEET'!#REF!</f>
        <v>#REF!</v>
      </c>
      <c r="R70" s="105" t="e">
        <f>+'QUOTE WORKING SHEET'!#REF!</f>
        <v>#REF!</v>
      </c>
      <c r="S70" s="94">
        <f>+'QUOTE WORKING SHEET'!K120</f>
        <v>0</v>
      </c>
      <c r="T70" s="94">
        <f>+'QUOTE WORKING SHEET'!L120</f>
        <v>0</v>
      </c>
      <c r="U70" s="94">
        <f>+'QUOTE WORKING SHEET'!M120</f>
        <v>0</v>
      </c>
      <c r="V70" s="95">
        <f>+'QUOTE WORKING SHEET'!N120</f>
        <v>0</v>
      </c>
      <c r="W70" s="94">
        <f>+'QUOTE WORKING SHEET'!O120</f>
        <v>0</v>
      </c>
      <c r="X70" s="95">
        <f>+'QUOTE WORKING SHEET'!P120</f>
        <v>0</v>
      </c>
      <c r="Y70" s="94">
        <f>+'QUOTE WORKING SHEET'!Q120</f>
        <v>0</v>
      </c>
      <c r="Z70" s="95">
        <f>+'QUOTE WORKING SHEET'!R120</f>
        <v>0</v>
      </c>
      <c r="AA70" s="9"/>
      <c r="AB70" s="103"/>
      <c r="AC70" s="103"/>
      <c r="AD70" s="103"/>
    </row>
    <row r="71" spans="1:30" ht="168" customHeight="1" x14ac:dyDescent="0.25">
      <c r="A71" s="105">
        <f>+'QUOTE WORKING SHEET'!A121</f>
        <v>100</v>
      </c>
      <c r="B71" s="105" t="e">
        <f>+'QUOTE WORKING SHEET'!#REF!</f>
        <v>#REF!</v>
      </c>
      <c r="C71" s="105">
        <f>+'QUOTE WORKING SHEET'!B121</f>
        <v>0</v>
      </c>
      <c r="D71" s="105" t="e">
        <f>+'QUOTE WORKING SHEET'!#REF!</f>
        <v>#REF!</v>
      </c>
      <c r="E71" s="105" t="e">
        <f>+'QUOTE WORKING SHEET'!#REF!</f>
        <v>#REF!</v>
      </c>
      <c r="F71" s="105" t="e">
        <f>+'QUOTE WORKING SHEET'!#REF!</f>
        <v>#REF!</v>
      </c>
      <c r="G71" s="105">
        <f>+'QUOTE WORKING SHEET'!C121</f>
        <v>0</v>
      </c>
      <c r="H71" s="105">
        <f>+'QUOTE WORKING SHEET'!D121</f>
        <v>0</v>
      </c>
      <c r="I71" s="105">
        <f>+'QUOTE WORKING SHEET'!E121</f>
        <v>0</v>
      </c>
      <c r="J71" s="105">
        <f>+'QUOTE WORKING SHEET'!F121</f>
        <v>0</v>
      </c>
      <c r="K71" s="105" t="e">
        <f>+'QUOTE WORKING SHEET'!#REF!</f>
        <v>#REF!</v>
      </c>
      <c r="L71" s="105">
        <f>+'QUOTE WORKING SHEET'!G121</f>
        <v>0</v>
      </c>
      <c r="M71" s="105">
        <f>+'QUOTE WORKING SHEET'!H121</f>
        <v>0</v>
      </c>
      <c r="N71" s="105">
        <f>+'QUOTE WORKING SHEET'!I121</f>
        <v>0</v>
      </c>
      <c r="O71" s="105">
        <f>+'QUOTE WORKING SHEET'!J121</f>
        <v>0</v>
      </c>
      <c r="P71" s="105" t="e">
        <f>+'QUOTE WORKING SHEET'!#REF!</f>
        <v>#REF!</v>
      </c>
      <c r="Q71" s="105" t="e">
        <f>+'QUOTE WORKING SHEET'!#REF!</f>
        <v>#REF!</v>
      </c>
      <c r="R71" s="105" t="e">
        <f>+'QUOTE WORKING SHEET'!#REF!</f>
        <v>#REF!</v>
      </c>
      <c r="S71" s="94">
        <f>+'QUOTE WORKING SHEET'!K121</f>
        <v>0</v>
      </c>
      <c r="T71" s="94">
        <f>+'QUOTE WORKING SHEET'!L121</f>
        <v>0</v>
      </c>
      <c r="U71" s="94">
        <f>+'QUOTE WORKING SHEET'!M121</f>
        <v>0</v>
      </c>
      <c r="V71" s="95">
        <f>+'QUOTE WORKING SHEET'!N121</f>
        <v>0</v>
      </c>
      <c r="W71" s="94">
        <f>+'QUOTE WORKING SHEET'!O121</f>
        <v>0</v>
      </c>
      <c r="X71" s="95">
        <f>+'QUOTE WORKING SHEET'!P121</f>
        <v>0</v>
      </c>
      <c r="Y71" s="94">
        <f>+'QUOTE WORKING SHEET'!Q121</f>
        <v>0</v>
      </c>
      <c r="Z71" s="95">
        <f>+'QUOTE WORKING SHEET'!R121</f>
        <v>0</v>
      </c>
      <c r="AA71" s="9"/>
      <c r="AB71" s="103"/>
      <c r="AC71" s="103"/>
      <c r="AD71" s="103"/>
    </row>
    <row r="72" spans="1:30" ht="54" customHeight="1" x14ac:dyDescent="0.25">
      <c r="A72" s="325" t="str">
        <f>+'QUOTE WORKING SHEET'!A122:J122</f>
        <v>TOTAL GLAZED FRAME COST</v>
      </c>
      <c r="B72" s="326"/>
      <c r="C72" s="326"/>
      <c r="D72" s="326"/>
      <c r="E72" s="326"/>
      <c r="F72" s="326"/>
      <c r="G72" s="327"/>
      <c r="H72" s="327"/>
      <c r="I72" s="327"/>
      <c r="J72" s="327"/>
      <c r="K72" s="327"/>
      <c r="L72" s="327"/>
      <c r="M72" s="327"/>
      <c r="N72" s="327"/>
      <c r="O72" s="327"/>
      <c r="P72" s="328"/>
      <c r="Q72" s="107"/>
      <c r="R72" s="107"/>
      <c r="S72" s="94">
        <f>+'QUOTE WORKING SHEET'!K122</f>
        <v>0</v>
      </c>
      <c r="T72" s="94">
        <f>+'QUOTE WORKING SHEET'!L122</f>
        <v>0</v>
      </c>
      <c r="U72" s="94">
        <f>+'QUOTE WORKING SHEET'!M122</f>
        <v>10556</v>
      </c>
      <c r="V72" s="95">
        <f>+'QUOTE WORKING SHEET'!N122</f>
        <v>23240.500000000004</v>
      </c>
      <c r="W72" s="94">
        <f>+'QUOTE WORKING SHEET'!O122</f>
        <v>0</v>
      </c>
      <c r="X72" s="95">
        <f>+'QUOTE WORKING SHEET'!P122</f>
        <v>0</v>
      </c>
      <c r="Y72" s="94">
        <f>+'QUOTE WORKING SHEET'!Q122</f>
        <v>0</v>
      </c>
      <c r="Z72" s="95">
        <f>+'QUOTE WORKING SHEET'!R122</f>
        <v>0</v>
      </c>
      <c r="AA72" s="104" t="s">
        <v>1</v>
      </c>
      <c r="AB72" s="103"/>
      <c r="AC72" s="103"/>
      <c r="AD72" s="103"/>
    </row>
    <row r="73" spans="1:30" ht="54" customHeight="1" x14ac:dyDescent="0.25">
      <c r="A73" s="325" t="str">
        <f>+'QUOTE WORKING SHEET'!A123:J123</f>
        <v>TRADE DISCOUNT</v>
      </c>
      <c r="B73" s="326"/>
      <c r="C73" s="326"/>
      <c r="D73" s="326"/>
      <c r="E73" s="326"/>
      <c r="F73" s="326"/>
      <c r="G73" s="327"/>
      <c r="H73" s="327"/>
      <c r="I73" s="327"/>
      <c r="J73" s="327"/>
      <c r="K73" s="327"/>
      <c r="L73" s="327"/>
      <c r="M73" s="327"/>
      <c r="N73" s="327"/>
      <c r="O73" s="327"/>
      <c r="P73" s="328"/>
      <c r="Q73" s="107"/>
      <c r="R73" s="107"/>
      <c r="S73" s="94">
        <f>+'QUOTE WORKING SHEET'!K123</f>
        <v>0</v>
      </c>
      <c r="T73" s="94">
        <f>+'QUOTE WORKING SHEET'!L123</f>
        <v>0</v>
      </c>
      <c r="U73" s="94">
        <f>+'QUOTE WORKING SHEET'!M123</f>
        <v>0</v>
      </c>
      <c r="V73" s="95">
        <f>+'QUOTE WORKING SHEET'!N123</f>
        <v>1394.43</v>
      </c>
      <c r="W73" s="94">
        <f>+'QUOTE WORKING SHEET'!O123</f>
        <v>0</v>
      </c>
      <c r="X73" s="95">
        <f>+'QUOTE WORKING SHEET'!P123</f>
        <v>0</v>
      </c>
      <c r="Y73" s="94">
        <f>+'QUOTE WORKING SHEET'!Q123</f>
        <v>0</v>
      </c>
      <c r="Z73" s="95">
        <f>+'QUOTE WORKING SHEET'!R123</f>
        <v>0</v>
      </c>
      <c r="AA73" s="104" t="s">
        <v>1</v>
      </c>
      <c r="AB73" s="103"/>
      <c r="AC73" s="103"/>
      <c r="AD73" s="103"/>
    </row>
    <row r="74" spans="1:30" ht="54" customHeight="1" x14ac:dyDescent="0.25">
      <c r="A74" s="325" t="str">
        <f>+'QUOTE WORKING SHEET'!A124:J124</f>
        <v>TOTAL GLAZED FRAME COST</v>
      </c>
      <c r="B74" s="326"/>
      <c r="C74" s="326"/>
      <c r="D74" s="326"/>
      <c r="E74" s="326"/>
      <c r="F74" s="326"/>
      <c r="G74" s="327"/>
      <c r="H74" s="327"/>
      <c r="I74" s="327"/>
      <c r="J74" s="327"/>
      <c r="K74" s="327"/>
      <c r="L74" s="327"/>
      <c r="M74" s="327"/>
      <c r="N74" s="327"/>
      <c r="O74" s="327"/>
      <c r="P74" s="328"/>
      <c r="Q74" s="107"/>
      <c r="R74" s="107"/>
      <c r="S74" s="94">
        <f>+'QUOTE WORKING SHEET'!K124</f>
        <v>11290.070000000003</v>
      </c>
      <c r="T74" s="94">
        <f>+'QUOTE WORKING SHEET'!L124</f>
        <v>0</v>
      </c>
      <c r="U74" s="94">
        <f>+'QUOTE WORKING SHEET'!M124</f>
        <v>0</v>
      </c>
      <c r="V74" s="95">
        <f>+'QUOTE WORKING SHEET'!N124</f>
        <v>21846.070000000003</v>
      </c>
      <c r="W74" s="94">
        <f>+'QUOTE WORKING SHEET'!O124</f>
        <v>0</v>
      </c>
      <c r="X74" s="95">
        <f>+'QUOTE WORKING SHEET'!P124</f>
        <v>0</v>
      </c>
      <c r="Y74" s="94">
        <f>+'QUOTE WORKING SHEET'!Q124</f>
        <v>0</v>
      </c>
      <c r="Z74" s="95">
        <f>+'QUOTE WORKING SHEET'!R124</f>
        <v>0</v>
      </c>
      <c r="AA74" s="104" t="s">
        <v>1</v>
      </c>
      <c r="AB74" s="103"/>
      <c r="AC74" s="103"/>
      <c r="AD74" s="103"/>
    </row>
    <row r="75" spans="1:30" ht="54" customHeight="1" x14ac:dyDescent="0.25">
      <c r="A75" s="325" t="str">
        <f>+'QUOTE WORKING SHEET'!A127:J127</f>
        <v>INSTALLATION COST</v>
      </c>
      <c r="B75" s="326"/>
      <c r="C75" s="326"/>
      <c r="D75" s="326"/>
      <c r="E75" s="326"/>
      <c r="F75" s="326"/>
      <c r="G75" s="327"/>
      <c r="H75" s="327"/>
      <c r="I75" s="327"/>
      <c r="J75" s="327"/>
      <c r="K75" s="327"/>
      <c r="L75" s="327"/>
      <c r="M75" s="327"/>
      <c r="N75" s="327"/>
      <c r="O75" s="327"/>
      <c r="P75" s="328"/>
      <c r="Q75" s="107"/>
      <c r="R75" s="107"/>
      <c r="S75" s="94">
        <f>+'QUOTE WORKING SHEET'!K127</f>
        <v>0</v>
      </c>
      <c r="T75" s="94">
        <f>+'QUOTE WORKING SHEET'!L127</f>
        <v>0</v>
      </c>
      <c r="U75" s="94">
        <f>+'QUOTE WORKING SHEET'!M127</f>
        <v>0</v>
      </c>
      <c r="V75" s="95">
        <f>+'QUOTE WORKING SHEET'!N127</f>
        <v>5660</v>
      </c>
      <c r="W75" s="94">
        <f>+'QUOTE WORKING SHEET'!O127</f>
        <v>0</v>
      </c>
      <c r="X75" s="95">
        <f>+'QUOTE WORKING SHEET'!P127</f>
        <v>0</v>
      </c>
      <c r="Y75" s="94">
        <f>+'QUOTE WORKING SHEET'!Q127</f>
        <v>0</v>
      </c>
      <c r="Z75" s="95">
        <f>+'QUOTE WORKING SHEET'!R127</f>
        <v>0</v>
      </c>
      <c r="AA75" s="104" t="s">
        <v>1</v>
      </c>
      <c r="AB75" s="103"/>
      <c r="AC75" s="103"/>
      <c r="AD75" s="103"/>
    </row>
    <row r="76" spans="1:30" ht="54" customHeight="1" x14ac:dyDescent="0.25">
      <c r="A76" s="325" t="str">
        <f>+'QUOTE WORKING SHEET'!A128:J128</f>
        <v>TOTAL PROJECT COST (INC INSTALLATION)</v>
      </c>
      <c r="B76" s="326"/>
      <c r="C76" s="326"/>
      <c r="D76" s="326"/>
      <c r="E76" s="326"/>
      <c r="F76" s="326"/>
      <c r="G76" s="327"/>
      <c r="H76" s="327"/>
      <c r="I76" s="327"/>
      <c r="J76" s="327"/>
      <c r="K76" s="327"/>
      <c r="L76" s="327"/>
      <c r="M76" s="327"/>
      <c r="N76" s="327"/>
      <c r="O76" s="327"/>
      <c r="P76" s="328"/>
      <c r="Q76" s="107"/>
      <c r="R76" s="107"/>
      <c r="S76" s="94">
        <f>+'QUOTE WORKING SHEET'!K128</f>
        <v>0</v>
      </c>
      <c r="T76" s="94">
        <f>+'QUOTE WORKING SHEET'!L128</f>
        <v>0</v>
      </c>
      <c r="U76" s="94">
        <f>+'QUOTE WORKING SHEET'!M128</f>
        <v>0</v>
      </c>
      <c r="V76" s="95">
        <f>+'QUOTE WORKING SHEET'!N128</f>
        <v>27506.070000000003</v>
      </c>
      <c r="W76" s="94">
        <f>+'QUOTE WORKING SHEET'!O128</f>
        <v>0</v>
      </c>
      <c r="X76" s="95">
        <f>+'QUOTE WORKING SHEET'!P128</f>
        <v>0</v>
      </c>
      <c r="Y76" s="94">
        <f>+'QUOTE WORKING SHEET'!Q128</f>
        <v>0</v>
      </c>
      <c r="Z76" s="95">
        <f>+'QUOTE WORKING SHEET'!R128</f>
        <v>0</v>
      </c>
      <c r="AA76" s="104" t="s">
        <v>1</v>
      </c>
      <c r="AB76" s="103"/>
      <c r="AC76" s="103"/>
      <c r="AD76" s="103"/>
    </row>
    <row r="77" spans="1:30" x14ac:dyDescent="0.25">
      <c r="AA77" s="4"/>
    </row>
    <row r="78" spans="1:30" ht="45" customHeight="1" x14ac:dyDescent="0.25">
      <c r="A78" s="335" t="str">
        <f>+'QUOTE WORKING SHEET'!A130:U130</f>
        <v>SUPPLY ONLY - DELIVERY COST - £295.00 + VAT (DELIVERY TO KERBSIDE)</v>
      </c>
      <c r="B78" s="335"/>
      <c r="C78" s="335"/>
      <c r="D78" s="335"/>
      <c r="E78" s="335"/>
      <c r="F78" s="335"/>
      <c r="G78" s="336"/>
      <c r="H78" s="336"/>
      <c r="I78" s="336"/>
      <c r="J78" s="336"/>
      <c r="K78" s="336"/>
      <c r="L78" s="336"/>
      <c r="M78" s="336"/>
      <c r="N78" s="336"/>
      <c r="O78" s="336"/>
      <c r="P78" s="336"/>
      <c r="Q78" s="336"/>
      <c r="R78" s="336"/>
      <c r="S78" s="336"/>
      <c r="T78" s="336"/>
      <c r="U78" s="336"/>
      <c r="V78" s="336"/>
      <c r="W78" s="336"/>
      <c r="X78" s="336"/>
      <c r="Y78" s="336"/>
      <c r="Z78" s="336"/>
      <c r="AA78" s="336"/>
    </row>
    <row r="79" spans="1:30" ht="45" customHeight="1" x14ac:dyDescent="0.25">
      <c r="A79" s="335" t="str">
        <f>+'QUOTE WORKING SHEET'!A131:U131</f>
        <v>QUOTED INSTALLATION COST  INCLUDES TRANSPORT OF PRODUCTS TO SITE / TECHNICAL SITE SURVEY / PROVISION OF REQUIRED POST SURVEY TECHNICAL DRAWINGS. COSTS ASSUME GOOD ACCESS TO POINT OF INSTALLATION. NO ALLOWANCE HAS BEEN MADE FOR THE USE OF MECHANICAL OR POWERED LIFTING EQUIPMENT OR SCAFFOLDING. SHOULD ANY OF THIS BE REQUIRED, THIS WILL BE AT THE CLIENT'S COST. PLEASE BE AWARE - WHERE INSTALLING PRODUCTS ABOVE GROUND FLOOR LEVEL (INCLUDING ALL ROOFLIGHTS), SAFE ACCESS / WORKING PLATFORMS MUST BE PROVIDED BY THE CLIENT OR THEIR CONTRACTOR. THE SPECIFIC REQUIREMENTS FOR SAFE WORKING PLATFORMS SHOULD BE DISCUSSED WITH RENKA.</v>
      </c>
      <c r="B79" s="335"/>
      <c r="C79" s="335"/>
      <c r="D79" s="335"/>
      <c r="E79" s="335"/>
      <c r="F79" s="335"/>
      <c r="G79" s="336"/>
      <c r="H79" s="336"/>
      <c r="I79" s="336"/>
      <c r="J79" s="336"/>
      <c r="K79" s="336"/>
      <c r="L79" s="336"/>
      <c r="M79" s="336"/>
      <c r="N79" s="336"/>
      <c r="O79" s="336"/>
      <c r="P79" s="336"/>
      <c r="Q79" s="336"/>
      <c r="R79" s="336"/>
      <c r="S79" s="336"/>
      <c r="T79" s="336"/>
      <c r="U79" s="336"/>
      <c r="V79" s="336"/>
      <c r="W79" s="336"/>
      <c r="X79" s="336"/>
      <c r="Y79" s="336"/>
      <c r="Z79" s="336"/>
      <c r="AA79" s="336"/>
    </row>
    <row r="80" spans="1:30" ht="65.25" customHeight="1" x14ac:dyDescent="0.25">
      <c r="A80" s="335" t="e">
        <f>+'QUOTE WORKING SHEET'!#REF!</f>
        <v>#REF!</v>
      </c>
      <c r="B80" s="335"/>
      <c r="C80" s="335"/>
      <c r="D80" s="335"/>
      <c r="E80" s="335"/>
      <c r="F80" s="335"/>
      <c r="G80" s="336"/>
      <c r="H80" s="336"/>
      <c r="I80" s="336"/>
      <c r="J80" s="336"/>
      <c r="K80" s="336"/>
      <c r="L80" s="336"/>
      <c r="M80" s="336"/>
      <c r="N80" s="336"/>
      <c r="O80" s="336"/>
      <c r="P80" s="336"/>
      <c r="Q80" s="336"/>
      <c r="R80" s="336"/>
      <c r="S80" s="336"/>
      <c r="T80" s="336"/>
      <c r="U80" s="336"/>
      <c r="V80" s="336"/>
      <c r="W80" s="336"/>
      <c r="X80" s="336"/>
      <c r="Y80" s="336"/>
      <c r="Z80" s="336"/>
      <c r="AA80" s="336"/>
    </row>
    <row r="81" spans="1:27" ht="65.25" customHeight="1" x14ac:dyDescent="0.25">
      <c r="A81" s="335" t="e">
        <f>+'QUOTE WORKING SHEET'!#REF!</f>
        <v>#REF!</v>
      </c>
      <c r="B81" s="335"/>
      <c r="C81" s="335"/>
      <c r="D81" s="335"/>
      <c r="E81" s="335"/>
      <c r="F81" s="335"/>
      <c r="G81" s="336"/>
      <c r="H81" s="336"/>
      <c r="I81" s="336"/>
      <c r="J81" s="336"/>
      <c r="K81" s="336"/>
      <c r="L81" s="336"/>
      <c r="M81" s="336"/>
      <c r="N81" s="336"/>
      <c r="O81" s="336"/>
      <c r="P81" s="336"/>
      <c r="Q81" s="336"/>
      <c r="R81" s="336"/>
      <c r="S81" s="336"/>
      <c r="T81" s="336"/>
      <c r="U81" s="336"/>
      <c r="V81" s="336"/>
      <c r="W81" s="336"/>
      <c r="X81" s="336"/>
      <c r="Y81" s="336"/>
      <c r="Z81" s="336"/>
      <c r="AA81" s="336"/>
    </row>
    <row r="82" spans="1:27" ht="24" hidden="1" thickBot="1" x14ac:dyDescent="0.3">
      <c r="A82" s="8"/>
      <c r="B82" s="8"/>
      <c r="C82" s="8"/>
      <c r="D82" s="8"/>
      <c r="E82" s="8"/>
      <c r="F82" s="8"/>
      <c r="G82" s="6"/>
      <c r="H82" s="8"/>
      <c r="I82" s="8"/>
      <c r="J82" s="6"/>
      <c r="K82" s="6"/>
      <c r="L82" s="6"/>
      <c r="M82" s="6"/>
      <c r="N82" s="6"/>
      <c r="O82" s="6"/>
      <c r="P82" s="6"/>
      <c r="Q82" s="6"/>
      <c r="R82" s="6"/>
      <c r="S82" s="6"/>
      <c r="T82" s="6"/>
      <c r="U82" s="6"/>
      <c r="V82" s="67"/>
      <c r="W82" s="67"/>
      <c r="X82" s="6"/>
      <c r="Y82" s="6"/>
      <c r="Z82" s="6"/>
      <c r="AA82" s="7"/>
    </row>
    <row r="83" spans="1:27" s="89" customFormat="1" ht="25.15" hidden="1" customHeight="1" x14ac:dyDescent="0.25">
      <c r="A83" s="337" t="s">
        <v>53</v>
      </c>
      <c r="B83" s="338"/>
      <c r="C83" s="338"/>
      <c r="D83" s="338"/>
      <c r="E83" s="338"/>
      <c r="F83" s="338"/>
      <c r="G83" s="338"/>
      <c r="H83" s="338"/>
      <c r="I83" s="338"/>
      <c r="J83" s="338"/>
      <c r="K83" s="338"/>
      <c r="L83" s="338"/>
      <c r="M83" s="338"/>
      <c r="N83" s="338"/>
      <c r="O83" s="338"/>
      <c r="P83" s="338"/>
      <c r="Q83" s="338"/>
      <c r="R83" s="338"/>
      <c r="S83" s="338"/>
      <c r="T83" s="338"/>
      <c r="U83" s="338"/>
      <c r="V83" s="338"/>
      <c r="W83" s="338"/>
      <c r="X83" s="338"/>
      <c r="Y83" s="338"/>
      <c r="Z83" s="338"/>
      <c r="AA83" s="339"/>
    </row>
    <row r="84" spans="1:27" s="89" customFormat="1" ht="25.15" hidden="1" customHeight="1" x14ac:dyDescent="0.25">
      <c r="A84" s="340"/>
      <c r="B84" s="341"/>
      <c r="C84" s="341"/>
      <c r="D84" s="341"/>
      <c r="E84" s="341"/>
      <c r="F84" s="341"/>
      <c r="G84" s="341"/>
      <c r="H84" s="341"/>
      <c r="I84" s="341"/>
      <c r="J84" s="341"/>
      <c r="K84" s="341"/>
      <c r="L84" s="341"/>
      <c r="M84" s="341"/>
      <c r="N84" s="341"/>
      <c r="O84" s="341"/>
      <c r="P84" s="341"/>
      <c r="Q84" s="341"/>
      <c r="R84" s="341"/>
      <c r="S84" s="341"/>
      <c r="T84" s="341"/>
      <c r="U84" s="341"/>
      <c r="V84" s="341"/>
      <c r="W84" s="341"/>
      <c r="X84" s="87"/>
      <c r="Y84" s="87"/>
      <c r="Z84" s="87"/>
      <c r="AA84" s="88"/>
    </row>
    <row r="85" spans="1:27" s="89" customFormat="1" ht="25.15" hidden="1" customHeight="1" x14ac:dyDescent="0.25">
      <c r="A85" s="340"/>
      <c r="B85" s="342"/>
      <c r="C85" s="342"/>
      <c r="D85" s="342"/>
      <c r="E85" s="342"/>
      <c r="F85" s="342"/>
      <c r="G85" s="342"/>
      <c r="H85" s="342"/>
      <c r="I85" s="342"/>
      <c r="J85" s="342"/>
      <c r="K85" s="342"/>
      <c r="L85" s="342"/>
      <c r="M85" s="342"/>
      <c r="N85" s="342"/>
      <c r="O85" s="342"/>
      <c r="P85" s="342"/>
      <c r="Q85" s="342"/>
      <c r="R85" s="342"/>
      <c r="S85" s="342"/>
      <c r="T85" s="342"/>
      <c r="U85" s="342"/>
      <c r="V85" s="342"/>
      <c r="W85" s="342"/>
      <c r="X85" s="342"/>
      <c r="Y85" s="342"/>
      <c r="Z85" s="342"/>
      <c r="AA85" s="343"/>
    </row>
    <row r="86" spans="1:27" s="89" customFormat="1" ht="25.15" hidden="1" customHeight="1" x14ac:dyDescent="0.25">
      <c r="A86" s="340"/>
      <c r="B86" s="344"/>
      <c r="C86" s="344"/>
      <c r="D86" s="344"/>
      <c r="E86" s="344"/>
      <c r="F86" s="344"/>
      <c r="G86" s="344"/>
      <c r="H86" s="344"/>
      <c r="I86" s="344"/>
      <c r="J86" s="344"/>
      <c r="K86" s="344"/>
      <c r="L86" s="344"/>
      <c r="M86" s="344"/>
      <c r="N86" s="344"/>
      <c r="O86" s="344"/>
      <c r="P86" s="344"/>
      <c r="Q86" s="344"/>
      <c r="R86" s="344"/>
      <c r="S86" s="344"/>
      <c r="T86" s="344"/>
      <c r="U86" s="344"/>
      <c r="V86" s="344"/>
      <c r="W86" s="344"/>
      <c r="X86" s="344"/>
      <c r="Y86" s="344"/>
      <c r="Z86" s="344"/>
      <c r="AA86" s="345"/>
    </row>
    <row r="87" spans="1:27" s="89" customFormat="1" ht="25.15" hidden="1" customHeight="1" x14ac:dyDescent="0.25">
      <c r="A87" s="340"/>
      <c r="B87" s="342"/>
      <c r="C87" s="342"/>
      <c r="D87" s="342"/>
      <c r="E87" s="342"/>
      <c r="F87" s="342"/>
      <c r="G87" s="342"/>
      <c r="H87" s="342"/>
      <c r="I87" s="342"/>
      <c r="J87" s="342"/>
      <c r="K87" s="342"/>
      <c r="L87" s="342"/>
      <c r="M87" s="342"/>
      <c r="N87" s="342"/>
      <c r="O87" s="342"/>
      <c r="P87" s="342"/>
      <c r="Q87" s="342"/>
      <c r="R87" s="342"/>
      <c r="S87" s="342"/>
      <c r="T87" s="342"/>
      <c r="U87" s="342"/>
      <c r="V87" s="342"/>
      <c r="W87" s="342"/>
      <c r="X87" s="342"/>
      <c r="Y87" s="342"/>
      <c r="Z87" s="342"/>
      <c r="AA87" s="343"/>
    </row>
    <row r="88" spans="1:27" s="89" customFormat="1" ht="25.15" hidden="1" customHeight="1" thickBot="1" x14ac:dyDescent="0.3">
      <c r="A88" s="346"/>
      <c r="B88" s="347"/>
      <c r="C88" s="347"/>
      <c r="D88" s="347"/>
      <c r="E88" s="347"/>
      <c r="F88" s="347"/>
      <c r="G88" s="347"/>
      <c r="H88" s="347"/>
      <c r="I88" s="347"/>
      <c r="J88" s="347"/>
      <c r="K88" s="347"/>
      <c r="L88" s="347"/>
      <c r="M88" s="347"/>
      <c r="N88" s="347"/>
      <c r="O88" s="347"/>
      <c r="P88" s="347"/>
      <c r="Q88" s="347"/>
      <c r="R88" s="347"/>
      <c r="S88" s="347"/>
      <c r="T88" s="347"/>
      <c r="U88" s="347"/>
      <c r="V88" s="347"/>
      <c r="W88" s="347"/>
      <c r="X88" s="347"/>
      <c r="Y88" s="347"/>
      <c r="Z88" s="347"/>
      <c r="AA88" s="348"/>
    </row>
    <row r="89" spans="1:27" ht="52.5" customHeight="1" x14ac:dyDescent="0.25">
      <c r="A89" s="309"/>
      <c r="B89" s="309"/>
      <c r="C89" s="309"/>
      <c r="D89" s="309"/>
      <c r="E89" s="309"/>
      <c r="F89" s="309"/>
      <c r="G89" s="309"/>
      <c r="H89" s="309"/>
      <c r="I89" s="309"/>
      <c r="J89" s="309"/>
      <c r="K89" s="309"/>
      <c r="L89" s="309"/>
      <c r="M89" s="309"/>
      <c r="N89" s="309"/>
      <c r="O89" s="309"/>
      <c r="P89" s="309"/>
      <c r="Q89" s="309"/>
      <c r="R89" s="309"/>
      <c r="S89" s="309"/>
      <c r="T89" s="309"/>
      <c r="U89" s="309"/>
      <c r="V89" s="309"/>
      <c r="W89" s="309"/>
      <c r="X89" s="309"/>
      <c r="Y89" s="309"/>
      <c r="Z89" s="309"/>
      <c r="AA89" s="309"/>
    </row>
    <row r="90" spans="1:27" ht="26.45" customHeight="1" x14ac:dyDescent="0.25">
      <c r="A90" s="33"/>
      <c r="B90" s="33"/>
      <c r="C90" s="33"/>
      <c r="D90" s="33"/>
      <c r="E90" s="33"/>
      <c r="F90" s="33"/>
      <c r="G90" s="33"/>
      <c r="H90" s="33"/>
      <c r="I90" s="33"/>
      <c r="J90" s="33"/>
      <c r="K90" s="33"/>
      <c r="L90" s="33"/>
      <c r="M90" s="33"/>
      <c r="N90" s="33"/>
      <c r="O90" s="33"/>
      <c r="P90" s="33"/>
      <c r="Q90" s="33"/>
      <c r="R90" s="33"/>
      <c r="S90" s="33"/>
      <c r="T90" s="33"/>
      <c r="U90" s="33"/>
      <c r="V90" s="75"/>
      <c r="W90" s="75"/>
      <c r="X90" s="33"/>
      <c r="Y90" s="33"/>
      <c r="Z90" s="33"/>
      <c r="AA90" s="33"/>
    </row>
  </sheetData>
  <mergeCells count="31">
    <mergeCell ref="A89:AA89"/>
    <mergeCell ref="A84:W84"/>
    <mergeCell ref="A85:AA85"/>
    <mergeCell ref="A86:AA86"/>
    <mergeCell ref="A87:AA87"/>
    <mergeCell ref="A88:AA88"/>
    <mergeCell ref="A78:AA78"/>
    <mergeCell ref="A79:AA79"/>
    <mergeCell ref="A80:AA80"/>
    <mergeCell ref="A81:AA81"/>
    <mergeCell ref="A83:AA83"/>
    <mergeCell ref="A76:P76"/>
    <mergeCell ref="A8:M8"/>
    <mergeCell ref="A9:M9"/>
    <mergeCell ref="A10:AA10"/>
    <mergeCell ref="A12:AA12"/>
    <mergeCell ref="A14:AA14"/>
    <mergeCell ref="A16:AA16"/>
    <mergeCell ref="A19:AA19"/>
    <mergeCell ref="A20:AA20"/>
    <mergeCell ref="A18:AA18"/>
    <mergeCell ref="A72:P72"/>
    <mergeCell ref="A73:P73"/>
    <mergeCell ref="A74:P74"/>
    <mergeCell ref="A75:P75"/>
    <mergeCell ref="A7:M7"/>
    <mergeCell ref="A1:AA1"/>
    <mergeCell ref="A2:AA2"/>
    <mergeCell ref="A6:M6"/>
    <mergeCell ref="A3:AA3"/>
    <mergeCell ref="A5:AA5"/>
  </mergeCells>
  <pageMargins left="0.51181102362204722" right="0.51181102362204722" top="0.35433070866141736" bottom="0.43307086614173229" header="0.11811023622047245" footer="0.19685039370078741"/>
  <pageSetup paperSize="9" scale="31" fitToHeight="0" orientation="landscape" horizontalDpi="4294967295" verticalDpi="4294967295" r:id="rId1"/>
  <headerFooter>
    <oddFooter>&amp;L&amp;G&amp;C&amp;G&amp;R&amp;G</oddFooter>
  </headerFooter>
  <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0000"/>
    <pageSetUpPr fitToPage="1"/>
  </sheetPr>
  <dimension ref="A1:BQ249"/>
  <sheetViews>
    <sheetView zoomScale="30" zoomScaleNormal="30" workbookViewId="0">
      <selection activeCell="AT1" sqref="AT1:BC1048576"/>
    </sheetView>
  </sheetViews>
  <sheetFormatPr defaultColWidth="9.140625" defaultRowHeight="18.75" x14ac:dyDescent="0.25"/>
  <cols>
    <col min="1" max="1" width="23.5703125" style="3" customWidth="1"/>
    <col min="2" max="2" width="38.42578125" style="3" customWidth="1"/>
    <col min="3" max="3" width="60.42578125" style="2" customWidth="1"/>
    <col min="4" max="5" width="28.42578125" style="3" customWidth="1"/>
    <col min="6" max="6" width="34.5703125" style="5" customWidth="1"/>
    <col min="7" max="7" width="115.140625" style="5" customWidth="1"/>
    <col min="8" max="8" width="43.42578125" style="2" customWidth="1"/>
    <col min="9" max="9" width="32.42578125" style="2" customWidth="1"/>
    <col min="10" max="10" width="33.42578125" style="2" customWidth="1"/>
    <col min="11" max="13" width="31.5703125" style="2" customWidth="1"/>
    <col min="14" max="14" width="34.42578125" style="68" customWidth="1"/>
    <col min="15" max="15" width="44.42578125" style="68" customWidth="1"/>
    <col min="16" max="18" width="44.42578125" style="2" customWidth="1"/>
    <col min="19" max="20" width="50.85546875" style="2" customWidth="1"/>
    <col min="21" max="21" width="90.85546875" style="3" customWidth="1"/>
    <col min="22" max="22" width="9.140625" style="1"/>
    <col min="23" max="23" width="6.5703125" style="1" customWidth="1"/>
    <col min="24" max="24" width="36.140625" style="1" customWidth="1"/>
    <col min="25" max="25" width="9.140625" style="1"/>
    <col min="26" max="26" width="35.5703125" style="1" customWidth="1"/>
    <col min="27" max="27" width="33.85546875" style="1" customWidth="1"/>
    <col min="28" max="28" width="15.42578125" style="1" customWidth="1"/>
    <col min="29" max="29" width="1.42578125" style="1" customWidth="1"/>
    <col min="30" max="45" width="9.140625" style="1"/>
    <col min="46" max="46" width="26" style="1" hidden="1" customWidth="1"/>
    <col min="47" max="47" width="52.140625" style="1" hidden="1" customWidth="1"/>
    <col min="48" max="48" width="35.42578125" style="1" hidden="1" customWidth="1"/>
    <col min="49" max="49" width="65.42578125" style="1" hidden="1" customWidth="1"/>
    <col min="50" max="55" width="9.140625" style="1" hidden="1" customWidth="1"/>
    <col min="56" max="16384" width="9.140625" style="1"/>
  </cols>
  <sheetData>
    <row r="1" spans="1:55" ht="171" customHeight="1" x14ac:dyDescent="0.25">
      <c r="A1" s="238"/>
      <c r="B1" s="239"/>
      <c r="C1" s="239"/>
      <c r="D1" s="236" t="s">
        <v>191</v>
      </c>
      <c r="E1" s="349"/>
      <c r="F1" s="349"/>
      <c r="G1" s="349"/>
      <c r="H1" s="349"/>
      <c r="I1" s="349"/>
      <c r="J1" s="349"/>
      <c r="K1" s="349"/>
      <c r="L1" s="349"/>
      <c r="M1" s="349"/>
      <c r="N1" s="195"/>
      <c r="O1" s="195"/>
      <c r="P1" s="195"/>
      <c r="Q1" s="195"/>
      <c r="R1" s="195"/>
      <c r="S1" s="234"/>
      <c r="T1" s="234"/>
      <c r="U1" s="235"/>
      <c r="W1" s="360" t="s">
        <v>109</v>
      </c>
      <c r="X1" s="361"/>
      <c r="Y1" s="361"/>
      <c r="Z1" s="361"/>
      <c r="AA1" s="361"/>
      <c r="AB1" s="361"/>
      <c r="AC1" s="362"/>
      <c r="AT1" s="160" t="s">
        <v>54</v>
      </c>
      <c r="AU1" s="160" t="s">
        <v>130</v>
      </c>
      <c r="AV1" s="160" t="s">
        <v>138</v>
      </c>
      <c r="AW1" s="160" t="s">
        <v>134</v>
      </c>
      <c r="AX1" s="160"/>
      <c r="AY1" s="160"/>
      <c r="AZ1" s="160"/>
      <c r="BA1" s="160"/>
      <c r="BB1" s="160"/>
      <c r="BC1" s="160"/>
    </row>
    <row r="2" spans="1:55" ht="35.25" x14ac:dyDescent="0.25">
      <c r="A2" s="174"/>
      <c r="B2" s="175"/>
      <c r="C2" s="175"/>
      <c r="D2" s="175"/>
      <c r="E2" s="175"/>
      <c r="F2" s="175"/>
      <c r="G2" s="175"/>
      <c r="H2" s="175"/>
      <c r="I2" s="175"/>
      <c r="J2" s="175"/>
      <c r="K2" s="175"/>
      <c r="L2" s="175"/>
      <c r="M2" s="175"/>
      <c r="N2" s="175"/>
      <c r="O2" s="175"/>
      <c r="P2" s="175"/>
      <c r="Q2" s="175"/>
      <c r="R2" s="175"/>
      <c r="S2" s="175"/>
      <c r="T2" s="175"/>
      <c r="U2" s="203">
        <f ca="1">TODAY()</f>
        <v>46308</v>
      </c>
      <c r="W2" s="131"/>
      <c r="X2" s="128"/>
      <c r="Y2" s="128"/>
      <c r="Z2" s="128"/>
      <c r="AA2" s="128"/>
      <c r="AB2" s="128"/>
      <c r="AC2" s="132"/>
      <c r="AT2" s="208" t="s">
        <v>128</v>
      </c>
      <c r="AU2" s="161" t="s">
        <v>131</v>
      </c>
      <c r="AV2" s="161" t="s">
        <v>135</v>
      </c>
      <c r="AW2" s="161" t="s">
        <v>135</v>
      </c>
      <c r="AX2" s="158"/>
      <c r="AY2" s="158"/>
      <c r="AZ2" s="158"/>
      <c r="BA2" s="158"/>
      <c r="BB2" s="158"/>
      <c r="BC2" s="158"/>
    </row>
    <row r="3" spans="1:55" ht="45" x14ac:dyDescent="0.25">
      <c r="A3" s="442" t="s">
        <v>88</v>
      </c>
      <c r="B3" s="443"/>
      <c r="C3" s="443"/>
      <c r="D3" s="443"/>
      <c r="E3" s="443"/>
      <c r="F3" s="443"/>
      <c r="G3" s="443"/>
      <c r="H3" s="443"/>
      <c r="I3" s="443"/>
      <c r="J3" s="443"/>
      <c r="K3" s="443"/>
      <c r="L3" s="443"/>
      <c r="M3" s="443"/>
      <c r="N3" s="443"/>
      <c r="O3" s="443"/>
      <c r="P3" s="443"/>
      <c r="Q3" s="443"/>
      <c r="R3" s="443"/>
      <c r="S3" s="443"/>
      <c r="T3" s="443"/>
      <c r="U3" s="443"/>
      <c r="W3" s="131"/>
      <c r="X3" s="128"/>
      <c r="Y3" s="128"/>
      <c r="Z3" s="128"/>
      <c r="AA3" s="128"/>
      <c r="AB3" s="128"/>
      <c r="AC3" s="132"/>
      <c r="AT3" s="208" t="s">
        <v>129</v>
      </c>
      <c r="AU3" s="161" t="s">
        <v>146</v>
      </c>
      <c r="AV3" s="161" t="s">
        <v>136</v>
      </c>
      <c r="AW3" s="161" t="s">
        <v>136</v>
      </c>
      <c r="AX3" s="158"/>
      <c r="AY3" s="158"/>
      <c r="AZ3" s="158"/>
      <c r="BA3" s="158"/>
      <c r="BB3" s="158"/>
      <c r="BC3" s="158"/>
    </row>
    <row r="4" spans="1:55" ht="24" customHeight="1" x14ac:dyDescent="0.25">
      <c r="A4" s="44"/>
      <c r="B4" s="44"/>
      <c r="C4" s="44"/>
      <c r="D4" s="44"/>
      <c r="E4" s="44"/>
      <c r="F4" s="44"/>
      <c r="G4" s="44"/>
      <c r="H4" s="44"/>
      <c r="I4" s="44"/>
      <c r="J4" s="44"/>
      <c r="K4" s="44"/>
      <c r="L4" s="44"/>
      <c r="M4" s="44"/>
      <c r="N4" s="72"/>
      <c r="O4" s="72"/>
      <c r="P4" s="44"/>
      <c r="Q4" s="44"/>
      <c r="R4" s="44"/>
      <c r="S4" s="44"/>
      <c r="T4" s="44"/>
      <c r="U4" s="44"/>
      <c r="W4" s="131"/>
      <c r="X4" s="128"/>
      <c r="Y4" s="128"/>
      <c r="Z4" s="128"/>
      <c r="AA4" s="128"/>
      <c r="AB4" s="128"/>
      <c r="AC4" s="132"/>
      <c r="AT4" s="208" t="s">
        <v>140</v>
      </c>
      <c r="AU4" s="161" t="s">
        <v>147</v>
      </c>
      <c r="AV4" s="161"/>
      <c r="AW4" s="161" t="s">
        <v>139</v>
      </c>
      <c r="AX4" s="158"/>
      <c r="AY4" s="158"/>
      <c r="AZ4" s="158"/>
      <c r="BA4" s="158"/>
      <c r="BB4" s="158"/>
      <c r="BC4" s="158"/>
    </row>
    <row r="5" spans="1:55" ht="37.5" x14ac:dyDescent="0.25">
      <c r="A5" s="305" t="s">
        <v>168</v>
      </c>
      <c r="B5" s="306"/>
      <c r="C5" s="306"/>
      <c r="D5" s="306"/>
      <c r="E5" s="306"/>
      <c r="F5" s="306"/>
      <c r="G5" s="306"/>
      <c r="H5" s="306"/>
      <c r="I5" s="44"/>
      <c r="J5" s="44"/>
      <c r="K5" s="44"/>
      <c r="L5" s="44"/>
      <c r="M5" s="44"/>
      <c r="N5" s="72"/>
      <c r="O5" s="72"/>
      <c r="P5" s="44"/>
      <c r="Q5" s="44"/>
      <c r="R5" s="44"/>
      <c r="S5" s="44"/>
      <c r="T5" s="44"/>
      <c r="U5" s="44"/>
      <c r="W5" s="131"/>
      <c r="X5" s="128"/>
      <c r="Y5" s="128"/>
      <c r="Z5" s="128"/>
      <c r="AA5" s="128"/>
      <c r="AB5" s="128"/>
      <c r="AC5" s="132"/>
      <c r="AT5" s="208" t="s">
        <v>187</v>
      </c>
      <c r="AU5" s="161" t="s">
        <v>148</v>
      </c>
      <c r="AV5" s="161"/>
      <c r="AW5" s="161" t="s">
        <v>140</v>
      </c>
      <c r="AX5" s="158"/>
      <c r="AY5" s="158"/>
      <c r="AZ5" s="158"/>
      <c r="BA5" s="158"/>
      <c r="BB5" s="158"/>
      <c r="BC5" s="158"/>
    </row>
    <row r="6" spans="1:55" ht="37.5" x14ac:dyDescent="0.25">
      <c r="A6" s="305" t="s">
        <v>169</v>
      </c>
      <c r="B6" s="306"/>
      <c r="C6" s="306"/>
      <c r="D6" s="306"/>
      <c r="E6" s="306"/>
      <c r="F6" s="306"/>
      <c r="G6" s="306"/>
      <c r="H6" s="306"/>
      <c r="I6" s="44"/>
      <c r="J6" s="44"/>
      <c r="K6" s="44"/>
      <c r="L6" s="44"/>
      <c r="M6" s="44"/>
      <c r="N6" s="72"/>
      <c r="O6" s="72"/>
      <c r="P6" s="44"/>
      <c r="Q6" s="44"/>
      <c r="R6" s="44"/>
      <c r="S6" s="44"/>
      <c r="T6" s="44"/>
      <c r="U6" s="44"/>
      <c r="W6" s="131"/>
      <c r="X6" s="128"/>
      <c r="Y6" s="128"/>
      <c r="Z6" s="128"/>
      <c r="AA6" s="128"/>
      <c r="AB6" s="128"/>
      <c r="AC6" s="132"/>
      <c r="AT6" s="208" t="s">
        <v>188</v>
      </c>
      <c r="AU6" s="161" t="s">
        <v>132</v>
      </c>
      <c r="AV6" s="161"/>
      <c r="AW6" s="158"/>
      <c r="AX6" s="158"/>
      <c r="AY6" s="158"/>
      <c r="AZ6" s="158"/>
      <c r="BA6" s="158"/>
      <c r="BB6" s="158"/>
      <c r="BC6" s="158"/>
    </row>
    <row r="7" spans="1:55" ht="37.5" x14ac:dyDescent="0.25">
      <c r="A7" s="305" t="s">
        <v>170</v>
      </c>
      <c r="B7" s="306"/>
      <c r="C7" s="306"/>
      <c r="D7" s="306"/>
      <c r="E7" s="306"/>
      <c r="F7" s="306"/>
      <c r="G7" s="306"/>
      <c r="H7" s="306"/>
      <c r="I7" s="44"/>
      <c r="J7" s="44"/>
      <c r="K7" s="44"/>
      <c r="L7" s="44"/>
      <c r="M7" s="44"/>
      <c r="N7" s="72"/>
      <c r="O7" s="72"/>
      <c r="P7" s="44"/>
      <c r="Q7" s="44"/>
      <c r="R7" s="44"/>
      <c r="S7" s="44"/>
      <c r="T7" s="44"/>
      <c r="U7" s="44"/>
      <c r="W7" s="131"/>
      <c r="X7" s="128"/>
      <c r="Y7" s="128"/>
      <c r="Z7" s="128"/>
      <c r="AA7" s="128"/>
      <c r="AB7" s="128"/>
      <c r="AC7" s="132"/>
      <c r="AT7" s="208" t="s">
        <v>189</v>
      </c>
      <c r="AU7" s="161" t="s">
        <v>133</v>
      </c>
      <c r="AV7" s="158"/>
      <c r="AW7" s="158"/>
      <c r="AX7" s="158"/>
      <c r="AY7" s="158"/>
      <c r="AZ7" s="158"/>
      <c r="BA7" s="158"/>
      <c r="BB7" s="158"/>
      <c r="BC7" s="158"/>
    </row>
    <row r="8" spans="1:55" ht="37.5" x14ac:dyDescent="0.25">
      <c r="A8" s="305" t="s">
        <v>171</v>
      </c>
      <c r="B8" s="306"/>
      <c r="C8" s="306"/>
      <c r="D8" s="306"/>
      <c r="E8" s="306"/>
      <c r="F8" s="306"/>
      <c r="G8" s="306"/>
      <c r="H8" s="306"/>
      <c r="I8" s="44"/>
      <c r="J8" s="44"/>
      <c r="K8" s="44"/>
      <c r="L8" s="44"/>
      <c r="M8" s="44"/>
      <c r="N8" s="72"/>
      <c r="O8" s="72"/>
      <c r="P8" s="44"/>
      <c r="Q8" s="44"/>
      <c r="R8" s="44"/>
      <c r="S8" s="44"/>
      <c r="T8" s="44"/>
      <c r="U8" s="44"/>
      <c r="W8" s="131"/>
      <c r="X8" s="128"/>
      <c r="Y8" s="128"/>
      <c r="Z8" s="128"/>
      <c r="AA8" s="128"/>
      <c r="AB8" s="128"/>
      <c r="AC8" s="132"/>
      <c r="AT8" s="208" t="s">
        <v>190</v>
      </c>
      <c r="AU8" s="161" t="s">
        <v>140</v>
      </c>
      <c r="AV8" s="158"/>
      <c r="AW8" s="158"/>
      <c r="AX8" s="158"/>
      <c r="AY8" s="158"/>
      <c r="AZ8" s="158"/>
      <c r="BA8" s="158"/>
      <c r="BB8" s="158"/>
      <c r="BC8" s="158"/>
    </row>
    <row r="9" spans="1:55" ht="37.5" x14ac:dyDescent="0.25">
      <c r="A9" s="305" t="s">
        <v>172</v>
      </c>
      <c r="B9" s="306"/>
      <c r="C9" s="306"/>
      <c r="D9" s="306"/>
      <c r="E9" s="306"/>
      <c r="F9" s="306"/>
      <c r="G9" s="306"/>
      <c r="H9" s="306"/>
      <c r="I9" s="45"/>
      <c r="J9" s="45"/>
      <c r="K9" s="45"/>
      <c r="L9" s="45"/>
      <c r="M9" s="45"/>
      <c r="N9" s="73"/>
      <c r="O9" s="73"/>
      <c r="P9" s="45"/>
      <c r="Q9" s="45"/>
      <c r="R9" s="45"/>
      <c r="S9" s="45"/>
      <c r="T9" s="45"/>
      <c r="U9" s="46"/>
      <c r="W9" s="131"/>
      <c r="X9" s="372"/>
      <c r="Y9" s="373"/>
      <c r="Z9" s="373"/>
      <c r="AA9" s="373"/>
      <c r="AB9" s="128"/>
      <c r="AC9" s="132"/>
      <c r="AT9" s="158"/>
      <c r="AU9" s="161" t="s">
        <v>142</v>
      </c>
      <c r="AV9" s="158"/>
      <c r="AW9" s="158"/>
      <c r="AX9" s="158"/>
      <c r="AY9" s="158"/>
      <c r="AZ9" s="158"/>
      <c r="BA9" s="158"/>
      <c r="BB9" s="158"/>
      <c r="BC9" s="158"/>
    </row>
    <row r="10" spans="1:55" ht="27" hidden="1" customHeight="1" x14ac:dyDescent="0.25">
      <c r="A10" s="301" t="s">
        <v>10</v>
      </c>
      <c r="B10" s="302"/>
      <c r="C10" s="302"/>
      <c r="D10" s="302"/>
      <c r="E10" s="302"/>
      <c r="F10" s="302"/>
      <c r="G10" s="302"/>
      <c r="H10" s="302"/>
      <c r="I10"/>
      <c r="J10"/>
      <c r="K10"/>
      <c r="L10"/>
      <c r="M10"/>
      <c r="N10"/>
      <c r="O10"/>
      <c r="P10"/>
      <c r="Q10"/>
      <c r="R10"/>
      <c r="S10"/>
      <c r="T10"/>
      <c r="U10"/>
      <c r="W10" s="131"/>
      <c r="X10" s="128"/>
      <c r="Y10" s="128"/>
      <c r="Z10" s="128"/>
      <c r="AA10" s="128"/>
      <c r="AB10" s="128"/>
      <c r="AC10" s="132"/>
      <c r="AT10" s="158"/>
      <c r="AU10" s="158"/>
      <c r="AV10" s="158"/>
      <c r="AW10" s="158"/>
      <c r="AX10" s="158"/>
      <c r="AY10" s="158"/>
      <c r="AZ10" s="158"/>
      <c r="BA10" s="158"/>
      <c r="BB10" s="158"/>
      <c r="BC10" s="158"/>
    </row>
    <row r="11" spans="1:55" ht="27" hidden="1" customHeight="1" x14ac:dyDescent="0.45">
      <c r="A11" s="56"/>
      <c r="B11" s="56"/>
      <c r="C11" s="45"/>
      <c r="D11" s="46"/>
      <c r="E11" s="46"/>
      <c r="F11" s="45"/>
      <c r="G11" s="45"/>
      <c r="H11" s="45"/>
      <c r="I11" s="45"/>
      <c r="J11" s="45"/>
      <c r="K11" s="45"/>
      <c r="L11" s="45"/>
      <c r="M11" s="45"/>
      <c r="N11" s="73"/>
      <c r="O11" s="73"/>
      <c r="P11" s="45"/>
      <c r="Q11" s="45"/>
      <c r="R11" s="45"/>
      <c r="S11" s="45"/>
      <c r="T11" s="45"/>
      <c r="U11" s="46"/>
      <c r="W11" s="131"/>
      <c r="X11" s="128"/>
      <c r="Y11" s="128"/>
      <c r="Z11" s="128"/>
      <c r="AA11" s="128"/>
      <c r="AB11" s="128"/>
      <c r="AC11" s="132"/>
      <c r="AT11" s="158"/>
      <c r="AU11" s="158"/>
      <c r="AV11" s="158"/>
      <c r="AW11" s="158"/>
      <c r="AX11" s="158"/>
      <c r="AY11" s="158"/>
      <c r="AZ11" s="158"/>
      <c r="BA11" s="158"/>
      <c r="BB11" s="158"/>
      <c r="BC11" s="158"/>
    </row>
    <row r="12" spans="1:55" ht="27" hidden="1" customHeight="1" x14ac:dyDescent="0.25">
      <c r="A12" s="301" t="s">
        <v>41</v>
      </c>
      <c r="B12" s="302"/>
      <c r="C12" s="302"/>
      <c r="D12" s="302"/>
      <c r="E12" s="302"/>
      <c r="F12" s="302"/>
      <c r="G12" s="302"/>
      <c r="H12" s="302"/>
      <c r="I12"/>
      <c r="J12"/>
      <c r="K12"/>
      <c r="L12"/>
      <c r="M12"/>
      <c r="N12"/>
      <c r="O12"/>
      <c r="P12"/>
      <c r="Q12"/>
      <c r="R12"/>
      <c r="S12"/>
      <c r="T12"/>
      <c r="U12"/>
      <c r="W12" s="131"/>
      <c r="X12" s="128"/>
      <c r="Y12" s="128"/>
      <c r="Z12" s="128"/>
      <c r="AA12" s="128"/>
      <c r="AB12" s="128"/>
      <c r="AC12" s="132"/>
      <c r="AT12" s="158"/>
      <c r="AU12" s="158"/>
      <c r="AV12" s="158"/>
      <c r="AW12" s="158"/>
      <c r="AX12" s="158"/>
      <c r="AY12" s="158"/>
      <c r="AZ12" s="158"/>
      <c r="BA12" s="158"/>
      <c r="BB12" s="158"/>
      <c r="BC12" s="158"/>
    </row>
    <row r="13" spans="1:55" ht="28.5" x14ac:dyDescent="0.45">
      <c r="A13" s="41"/>
      <c r="B13" s="41"/>
      <c r="C13" s="42"/>
      <c r="D13" s="43"/>
      <c r="E13" s="43"/>
      <c r="F13" s="42"/>
      <c r="G13" s="42"/>
      <c r="H13" s="42"/>
      <c r="I13" s="42"/>
      <c r="J13" s="42"/>
      <c r="K13" s="42"/>
      <c r="L13" s="42"/>
      <c r="M13" s="42"/>
      <c r="N13" s="74"/>
      <c r="O13" s="74"/>
      <c r="P13" s="42"/>
      <c r="Q13" s="42"/>
      <c r="R13" s="42"/>
      <c r="S13" s="42"/>
      <c r="T13" s="42"/>
      <c r="U13" s="43"/>
      <c r="W13" s="131"/>
      <c r="X13" s="128"/>
      <c r="Y13" s="128"/>
      <c r="Z13" s="128"/>
      <c r="AA13" s="128"/>
      <c r="AB13" s="128"/>
      <c r="AC13" s="132"/>
      <c r="AT13" s="158"/>
      <c r="AU13" s="158"/>
      <c r="AV13" s="158"/>
      <c r="AW13" s="158"/>
      <c r="AX13" s="158"/>
      <c r="AY13" s="158"/>
      <c r="AZ13" s="158"/>
      <c r="BA13" s="158"/>
      <c r="BB13" s="158"/>
      <c r="BC13" s="158"/>
    </row>
    <row r="14" spans="1:55" ht="21.2" hidden="1" customHeight="1" x14ac:dyDescent="0.55000000000000004">
      <c r="A14" s="246" t="s">
        <v>175</v>
      </c>
      <c r="B14" s="247"/>
      <c r="C14" s="247"/>
      <c r="D14" s="247"/>
      <c r="E14" s="247"/>
      <c r="F14" s="247"/>
      <c r="G14" s="247"/>
      <c r="H14" s="247"/>
      <c r="I14" s="247"/>
      <c r="J14" s="247"/>
      <c r="K14" s="247"/>
      <c r="L14" s="247"/>
      <c r="M14" s="247"/>
      <c r="N14" s="247"/>
      <c r="O14" s="247"/>
      <c r="P14" s="247"/>
      <c r="Q14" s="247"/>
      <c r="R14" s="247"/>
      <c r="S14" s="247"/>
      <c r="T14" s="247"/>
      <c r="U14" s="247"/>
      <c r="W14" s="131"/>
      <c r="X14" s="128"/>
      <c r="Y14" s="128"/>
      <c r="Z14" s="128"/>
      <c r="AA14" s="128"/>
      <c r="AB14" s="128"/>
      <c r="AC14" s="132"/>
      <c r="AT14" s="158"/>
      <c r="AU14" s="158"/>
      <c r="AV14" s="158"/>
      <c r="AW14" s="158"/>
      <c r="AX14" s="158"/>
      <c r="AY14" s="158"/>
      <c r="AZ14" s="158"/>
      <c r="BA14" s="158"/>
      <c r="BB14" s="158"/>
      <c r="BC14" s="158"/>
    </row>
    <row r="15" spans="1:55" s="15" customFormat="1" ht="18" hidden="1" customHeight="1" x14ac:dyDescent="0.5">
      <c r="A15" s="176"/>
      <c r="B15" s="176"/>
      <c r="C15" s="177"/>
      <c r="D15" s="177"/>
      <c r="E15" s="177"/>
      <c r="F15" s="177"/>
      <c r="G15" s="177"/>
      <c r="H15" s="177"/>
      <c r="I15" s="177"/>
      <c r="J15" s="177"/>
      <c r="K15" s="177"/>
      <c r="L15" s="177"/>
      <c r="M15" s="177"/>
      <c r="N15" s="177"/>
      <c r="O15" s="177"/>
      <c r="P15" s="177"/>
      <c r="Q15" s="177"/>
      <c r="R15" s="177"/>
      <c r="S15" s="177"/>
      <c r="T15" s="177"/>
      <c r="U15" s="177"/>
      <c r="W15" s="131"/>
      <c r="X15" s="128"/>
      <c r="Y15" s="128"/>
      <c r="Z15" s="128"/>
      <c r="AA15" s="128"/>
      <c r="AB15" s="128"/>
      <c r="AC15" s="132"/>
      <c r="AT15" s="159"/>
      <c r="AU15" s="159"/>
      <c r="AV15" s="159"/>
      <c r="AW15" s="159"/>
      <c r="AX15" s="159"/>
      <c r="AY15" s="159"/>
      <c r="AZ15" s="159"/>
      <c r="BA15" s="159"/>
      <c r="BB15" s="159"/>
      <c r="BC15" s="159"/>
    </row>
    <row r="16" spans="1:55" ht="18.75" hidden="1" customHeight="1" x14ac:dyDescent="0.45">
      <c r="A16" s="248" t="s">
        <v>176</v>
      </c>
      <c r="B16" s="249"/>
      <c r="C16" s="249"/>
      <c r="D16" s="249"/>
      <c r="E16" s="249"/>
      <c r="F16" s="249"/>
      <c r="G16" s="249"/>
      <c r="H16" s="249"/>
      <c r="I16" s="249"/>
      <c r="J16" s="249"/>
      <c r="K16" s="249"/>
      <c r="L16" s="249"/>
      <c r="M16" s="249"/>
      <c r="N16" s="249"/>
      <c r="O16" s="249"/>
      <c r="P16" s="249"/>
      <c r="Q16" s="249"/>
      <c r="R16" s="249"/>
      <c r="S16" s="249"/>
      <c r="T16" s="249"/>
      <c r="U16" s="249"/>
      <c r="W16" s="131"/>
      <c r="X16" s="128"/>
      <c r="Y16" s="128"/>
      <c r="Z16" s="128"/>
      <c r="AA16" s="128"/>
      <c r="AB16" s="128"/>
      <c r="AC16" s="132"/>
      <c r="AT16" s="158"/>
      <c r="AU16" s="158"/>
      <c r="AV16" s="158"/>
      <c r="AW16" s="158"/>
      <c r="AX16" s="158"/>
      <c r="AY16" s="158"/>
      <c r="AZ16" s="158"/>
      <c r="BA16" s="158"/>
      <c r="BB16" s="158"/>
      <c r="BC16" s="158"/>
    </row>
    <row r="17" spans="1:55" ht="18" hidden="1" customHeight="1" x14ac:dyDescent="0.25">
      <c r="W17" s="131"/>
      <c r="X17" s="128"/>
      <c r="Y17" s="128"/>
      <c r="Z17" s="128"/>
      <c r="AA17" s="128"/>
      <c r="AB17" s="128"/>
      <c r="AC17" s="132"/>
      <c r="AT17" s="158"/>
      <c r="AU17" s="158"/>
      <c r="AV17" s="158"/>
      <c r="AW17" s="158"/>
      <c r="AX17" s="158"/>
      <c r="AY17" s="158"/>
      <c r="AZ17" s="158"/>
      <c r="BA17" s="158"/>
      <c r="BB17" s="158"/>
      <c r="BC17" s="158"/>
    </row>
    <row r="18" spans="1:55" ht="129.19999999999999" customHeight="1" x14ac:dyDescent="0.25">
      <c r="A18" s="242"/>
      <c r="B18" s="242"/>
      <c r="C18" s="243"/>
      <c r="D18" s="243"/>
      <c r="E18" s="243"/>
      <c r="F18" s="243"/>
      <c r="G18" s="243"/>
      <c r="H18" s="243"/>
      <c r="I18" s="243"/>
      <c r="J18" s="243"/>
      <c r="K18" s="243"/>
      <c r="L18" s="243"/>
      <c r="M18" s="243"/>
      <c r="N18" s="243"/>
      <c r="O18" s="243"/>
      <c r="P18" s="243"/>
      <c r="Q18" s="243"/>
      <c r="R18" s="243"/>
      <c r="S18" s="243"/>
      <c r="T18" s="243"/>
      <c r="U18" s="243"/>
      <c r="W18" s="131"/>
      <c r="X18" s="128"/>
      <c r="Y18" s="128"/>
      <c r="Z18" s="128"/>
      <c r="AA18" s="128"/>
      <c r="AB18" s="128"/>
      <c r="AC18" s="132"/>
      <c r="AT18" s="158"/>
      <c r="AU18" s="158"/>
      <c r="AV18" s="158"/>
      <c r="AW18" s="158"/>
      <c r="AX18" s="158"/>
      <c r="AY18" s="158"/>
      <c r="AZ18" s="158"/>
      <c r="BA18" s="158"/>
      <c r="BB18" s="158"/>
      <c r="BC18" s="158"/>
    </row>
    <row r="19" spans="1:55" ht="42" customHeight="1" x14ac:dyDescent="0.25">
      <c r="A19" s="244"/>
      <c r="B19" s="245"/>
      <c r="C19" s="245"/>
      <c r="D19" s="245"/>
      <c r="E19" s="245"/>
      <c r="F19" s="245"/>
      <c r="G19" s="245"/>
      <c r="H19" s="245"/>
      <c r="I19" s="1"/>
      <c r="J19" s="1"/>
      <c r="K19" s="1"/>
      <c r="L19" s="1"/>
      <c r="M19" s="1"/>
      <c r="N19" s="1"/>
      <c r="O19" s="1"/>
      <c r="P19" s="1"/>
      <c r="Q19" s="1"/>
      <c r="R19" s="1"/>
      <c r="S19" s="1"/>
      <c r="T19" s="1"/>
      <c r="U19" s="1"/>
      <c r="W19" s="131"/>
      <c r="X19" s="128"/>
      <c r="Y19" s="128"/>
      <c r="Z19" s="128"/>
      <c r="AA19" s="128"/>
      <c r="AB19" s="128"/>
      <c r="AC19" s="132"/>
      <c r="AT19" s="158"/>
      <c r="AU19" s="158"/>
      <c r="AV19" s="158"/>
      <c r="AW19" s="158"/>
      <c r="AX19" s="158"/>
      <c r="AY19" s="158"/>
      <c r="AZ19" s="158"/>
      <c r="BA19" s="158"/>
      <c r="BB19" s="158"/>
      <c r="BC19" s="158"/>
    </row>
    <row r="20" spans="1:55" ht="30.2" customHeight="1" x14ac:dyDescent="0.25">
      <c r="A20" s="209" t="str">
        <f>+A5</f>
        <v>Name</v>
      </c>
      <c r="B20" s="122"/>
      <c r="C20" s="122"/>
      <c r="D20" s="122"/>
      <c r="E20" s="122"/>
      <c r="F20" s="122"/>
      <c r="G20" s="122"/>
      <c r="H20" s="122"/>
      <c r="I20" s="122"/>
      <c r="J20" s="122"/>
      <c r="K20" s="122"/>
      <c r="L20" s="122"/>
      <c r="M20" s="122"/>
      <c r="N20" s="122"/>
      <c r="O20" s="122"/>
      <c r="P20" s="122"/>
      <c r="Q20" s="122"/>
      <c r="R20" s="122"/>
      <c r="S20" s="122"/>
      <c r="T20" s="122"/>
      <c r="U20" s="203">
        <f ca="1">+U2</f>
        <v>46308</v>
      </c>
      <c r="W20" s="131"/>
      <c r="X20" s="128"/>
      <c r="Y20" s="128"/>
      <c r="Z20" s="128"/>
      <c r="AA20" s="128"/>
      <c r="AB20" s="128"/>
      <c r="AC20" s="132"/>
      <c r="AT20" s="158"/>
      <c r="AU20" s="158"/>
      <c r="AV20" s="158"/>
      <c r="AW20" s="158"/>
      <c r="AX20" s="158"/>
      <c r="AY20" s="158"/>
      <c r="AZ20" s="158"/>
      <c r="BA20" s="158"/>
      <c r="BB20" s="158"/>
      <c r="BC20" s="158"/>
    </row>
    <row r="21" spans="1:55" ht="204" customHeight="1" thickBot="1" x14ac:dyDescent="0.3">
      <c r="A21" s="187" t="s">
        <v>181</v>
      </c>
      <c r="B21" s="187" t="s">
        <v>183</v>
      </c>
      <c r="C21" s="187" t="s">
        <v>47</v>
      </c>
      <c r="D21" s="187" t="s">
        <v>144</v>
      </c>
      <c r="E21" s="187" t="s">
        <v>145</v>
      </c>
      <c r="F21" s="187" t="s">
        <v>179</v>
      </c>
      <c r="G21" s="187" t="s">
        <v>72</v>
      </c>
      <c r="H21" s="187" t="s">
        <v>180</v>
      </c>
      <c r="I21" s="187" t="s">
        <v>55</v>
      </c>
      <c r="J21" s="187" t="s">
        <v>195</v>
      </c>
      <c r="K21" s="188" t="s">
        <v>2</v>
      </c>
      <c r="L21" s="188" t="s">
        <v>3</v>
      </c>
      <c r="M21" s="188" t="s">
        <v>4</v>
      </c>
      <c r="N21" s="187" t="s">
        <v>5</v>
      </c>
      <c r="O21" s="188" t="s">
        <v>164</v>
      </c>
      <c r="P21" s="189" t="s">
        <v>48</v>
      </c>
      <c r="Q21" s="188" t="s">
        <v>49</v>
      </c>
      <c r="R21" s="189" t="s">
        <v>50</v>
      </c>
      <c r="S21" s="190" t="s">
        <v>137</v>
      </c>
      <c r="T21" s="190" t="s">
        <v>196</v>
      </c>
      <c r="U21" s="191" t="s">
        <v>58</v>
      </c>
      <c r="W21" s="133"/>
      <c r="X21" s="134"/>
      <c r="Y21" s="134"/>
      <c r="Z21" s="134"/>
      <c r="AA21" s="134"/>
      <c r="AB21" s="134"/>
      <c r="AC21" s="135"/>
      <c r="AT21" s="172"/>
      <c r="AU21" s="172"/>
      <c r="AV21" s="172"/>
      <c r="AW21" s="172"/>
      <c r="AX21" s="172"/>
      <c r="AY21" s="172"/>
      <c r="AZ21" s="172"/>
      <c r="BA21" s="172"/>
      <c r="BB21" s="172"/>
      <c r="BC21" s="172"/>
    </row>
    <row r="22" spans="1:55" ht="237.2" customHeight="1" x14ac:dyDescent="0.25">
      <c r="A22" s="179">
        <v>1</v>
      </c>
      <c r="B22" s="180"/>
      <c r="C22" s="180"/>
      <c r="D22" s="198"/>
      <c r="E22" s="198"/>
      <c r="F22" s="180"/>
      <c r="G22" s="180"/>
      <c r="H22" s="180"/>
      <c r="I22" s="180"/>
      <c r="J22" s="180"/>
      <c r="K22" s="181"/>
      <c r="L22" s="182"/>
      <c r="M22" s="182">
        <f t="shared" ref="M22:M85" si="0">+L22+K22</f>
        <v>0</v>
      </c>
      <c r="N22" s="194">
        <f>+M22*2.1</f>
        <v>0</v>
      </c>
      <c r="O22" s="184"/>
      <c r="P22" s="183"/>
      <c r="Q22" s="184"/>
      <c r="R22" s="183"/>
      <c r="S22" s="185"/>
      <c r="T22" s="185"/>
      <c r="U22" s="186"/>
      <c r="V22" s="103"/>
      <c r="W22" s="148"/>
      <c r="X22" s="148"/>
      <c r="Y22" s="15"/>
      <c r="Z22" s="15"/>
      <c r="AA22" s="15"/>
      <c r="AB22" s="15"/>
    </row>
    <row r="23" spans="1:55" ht="237.2" customHeight="1" x14ac:dyDescent="0.25">
      <c r="A23" s="179">
        <v>2</v>
      </c>
      <c r="B23" s="180"/>
      <c r="C23" s="180"/>
      <c r="D23" s="198"/>
      <c r="E23" s="198"/>
      <c r="F23" s="180"/>
      <c r="G23" s="180"/>
      <c r="H23" s="180"/>
      <c r="I23" s="180"/>
      <c r="J23" s="180"/>
      <c r="K23" s="181"/>
      <c r="L23" s="182"/>
      <c r="M23" s="182">
        <f t="shared" si="0"/>
        <v>0</v>
      </c>
      <c r="N23" s="194">
        <f t="shared" ref="N23:N86" si="1">+M23*2.1</f>
        <v>0</v>
      </c>
      <c r="O23" s="184"/>
      <c r="P23" s="183"/>
      <c r="Q23" s="184"/>
      <c r="R23" s="183"/>
      <c r="S23" s="185"/>
      <c r="T23" s="185"/>
      <c r="U23" s="186"/>
      <c r="V23" s="103"/>
      <c r="W23" s="148"/>
      <c r="X23" s="148"/>
      <c r="Y23" s="15"/>
      <c r="Z23" s="15"/>
      <c r="AA23" s="15"/>
      <c r="AB23" s="15"/>
    </row>
    <row r="24" spans="1:55" ht="237.2" customHeight="1" x14ac:dyDescent="0.25">
      <c r="A24" s="179">
        <v>3</v>
      </c>
      <c r="B24" s="180"/>
      <c r="C24" s="180"/>
      <c r="D24" s="198"/>
      <c r="E24" s="198"/>
      <c r="F24" s="180"/>
      <c r="G24" s="180"/>
      <c r="H24" s="180"/>
      <c r="I24" s="180"/>
      <c r="J24" s="180"/>
      <c r="K24" s="181"/>
      <c r="L24" s="182"/>
      <c r="M24" s="182">
        <f t="shared" si="0"/>
        <v>0</v>
      </c>
      <c r="N24" s="194">
        <f t="shared" si="1"/>
        <v>0</v>
      </c>
      <c r="O24" s="184"/>
      <c r="P24" s="183"/>
      <c r="Q24" s="184"/>
      <c r="R24" s="183"/>
      <c r="S24" s="185"/>
      <c r="T24" s="185"/>
      <c r="U24" s="186"/>
      <c r="V24" s="103"/>
      <c r="W24" s="148"/>
      <c r="X24" s="148"/>
      <c r="Y24" s="15"/>
      <c r="Z24" s="15"/>
      <c r="AA24" s="15"/>
      <c r="AB24" s="15"/>
    </row>
    <row r="25" spans="1:55" ht="237.2" customHeight="1" x14ac:dyDescent="0.25">
      <c r="A25" s="179">
        <v>4</v>
      </c>
      <c r="B25" s="180"/>
      <c r="C25" s="180"/>
      <c r="D25" s="198"/>
      <c r="E25" s="198"/>
      <c r="F25" s="180"/>
      <c r="G25" s="180"/>
      <c r="H25" s="180"/>
      <c r="I25" s="180"/>
      <c r="J25" s="180"/>
      <c r="K25" s="181"/>
      <c r="L25" s="182"/>
      <c r="M25" s="182">
        <f t="shared" si="0"/>
        <v>0</v>
      </c>
      <c r="N25" s="194">
        <f t="shared" si="1"/>
        <v>0</v>
      </c>
      <c r="O25" s="184"/>
      <c r="P25" s="183"/>
      <c r="Q25" s="184"/>
      <c r="R25" s="183"/>
      <c r="S25" s="185"/>
      <c r="T25" s="185"/>
      <c r="U25" s="186"/>
      <c r="V25" s="103"/>
      <c r="W25" s="148"/>
      <c r="X25" s="148"/>
      <c r="Y25" s="15"/>
      <c r="Z25" s="15"/>
      <c r="AA25" s="15"/>
      <c r="AB25" s="15"/>
    </row>
    <row r="26" spans="1:55" ht="237.2" customHeight="1" x14ac:dyDescent="0.25">
      <c r="A26" s="179">
        <v>5</v>
      </c>
      <c r="B26" s="180"/>
      <c r="C26" s="180"/>
      <c r="D26" s="198"/>
      <c r="E26" s="198"/>
      <c r="F26" s="180"/>
      <c r="G26" s="180"/>
      <c r="H26" s="180"/>
      <c r="I26" s="180"/>
      <c r="J26" s="180"/>
      <c r="K26" s="181"/>
      <c r="L26" s="182"/>
      <c r="M26" s="182">
        <f t="shared" si="0"/>
        <v>0</v>
      </c>
      <c r="N26" s="194">
        <f t="shared" si="1"/>
        <v>0</v>
      </c>
      <c r="O26" s="184"/>
      <c r="P26" s="183"/>
      <c r="Q26" s="184"/>
      <c r="R26" s="183"/>
      <c r="S26" s="185"/>
      <c r="T26" s="185"/>
      <c r="U26" s="186"/>
      <c r="V26" s="103"/>
      <c r="W26" s="148"/>
      <c r="X26" s="148"/>
      <c r="Y26" s="15"/>
      <c r="Z26" s="15"/>
      <c r="AA26" s="15"/>
      <c r="AB26" s="15"/>
    </row>
    <row r="27" spans="1:55" ht="237.2" customHeight="1" x14ac:dyDescent="0.25">
      <c r="A27" s="179">
        <v>6</v>
      </c>
      <c r="B27" s="180"/>
      <c r="C27" s="180"/>
      <c r="D27" s="198"/>
      <c r="E27" s="198"/>
      <c r="F27" s="180"/>
      <c r="G27" s="180"/>
      <c r="H27" s="180"/>
      <c r="I27" s="180"/>
      <c r="J27" s="180"/>
      <c r="K27" s="181"/>
      <c r="L27" s="182"/>
      <c r="M27" s="182">
        <f t="shared" si="0"/>
        <v>0</v>
      </c>
      <c r="N27" s="194">
        <f t="shared" si="1"/>
        <v>0</v>
      </c>
      <c r="O27" s="184"/>
      <c r="P27" s="183"/>
      <c r="Q27" s="184"/>
      <c r="R27" s="183"/>
      <c r="S27" s="185"/>
      <c r="T27" s="185"/>
      <c r="U27" s="186"/>
      <c r="V27" s="103"/>
      <c r="W27" s="148"/>
      <c r="X27" s="148"/>
      <c r="Y27" s="15"/>
      <c r="Z27" s="15"/>
      <c r="AA27" s="15"/>
      <c r="AB27" s="15"/>
    </row>
    <row r="28" spans="1:55" ht="237.2" customHeight="1" x14ac:dyDescent="0.25">
      <c r="A28" s="179">
        <v>7</v>
      </c>
      <c r="B28" s="180"/>
      <c r="C28" s="180"/>
      <c r="D28" s="198"/>
      <c r="E28" s="198"/>
      <c r="F28" s="180"/>
      <c r="G28" s="180"/>
      <c r="H28" s="180"/>
      <c r="I28" s="180"/>
      <c r="J28" s="180"/>
      <c r="K28" s="181"/>
      <c r="L28" s="182"/>
      <c r="M28" s="182">
        <f t="shared" si="0"/>
        <v>0</v>
      </c>
      <c r="N28" s="194">
        <f t="shared" si="1"/>
        <v>0</v>
      </c>
      <c r="O28" s="184"/>
      <c r="P28" s="183"/>
      <c r="Q28" s="184"/>
      <c r="R28" s="183"/>
      <c r="S28" s="185"/>
      <c r="T28" s="185"/>
      <c r="U28" s="186"/>
      <c r="V28" s="103"/>
      <c r="W28" s="148"/>
      <c r="X28" s="148"/>
      <c r="Y28" s="15"/>
      <c r="Z28" s="15"/>
      <c r="AA28" s="15"/>
      <c r="AB28" s="15"/>
    </row>
    <row r="29" spans="1:55" ht="237.2" customHeight="1" x14ac:dyDescent="0.25">
      <c r="A29" s="179">
        <v>8</v>
      </c>
      <c r="B29" s="180"/>
      <c r="C29" s="180"/>
      <c r="D29" s="198"/>
      <c r="E29" s="198"/>
      <c r="F29" s="180"/>
      <c r="G29" s="180"/>
      <c r="H29" s="180"/>
      <c r="I29" s="180"/>
      <c r="J29" s="180"/>
      <c r="K29" s="181"/>
      <c r="L29" s="182"/>
      <c r="M29" s="182">
        <f t="shared" si="0"/>
        <v>0</v>
      </c>
      <c r="N29" s="194">
        <f t="shared" si="1"/>
        <v>0</v>
      </c>
      <c r="O29" s="184"/>
      <c r="P29" s="183"/>
      <c r="Q29" s="184"/>
      <c r="R29" s="183"/>
      <c r="S29" s="185"/>
      <c r="T29" s="185"/>
      <c r="U29" s="186"/>
      <c r="V29" s="103"/>
      <c r="W29" s="148"/>
      <c r="X29" s="148"/>
      <c r="Y29" s="15"/>
      <c r="Z29" s="15"/>
      <c r="AA29" s="15"/>
      <c r="AB29" s="15"/>
    </row>
    <row r="30" spans="1:55" ht="237.2" customHeight="1" x14ac:dyDescent="0.25">
      <c r="A30" s="179">
        <v>9</v>
      </c>
      <c r="B30" s="180"/>
      <c r="C30" s="180"/>
      <c r="D30" s="198"/>
      <c r="E30" s="198"/>
      <c r="F30" s="180"/>
      <c r="G30" s="180"/>
      <c r="H30" s="180"/>
      <c r="I30" s="180"/>
      <c r="J30" s="180"/>
      <c r="K30" s="181"/>
      <c r="L30" s="182"/>
      <c r="M30" s="182">
        <f t="shared" si="0"/>
        <v>0</v>
      </c>
      <c r="N30" s="194">
        <f t="shared" si="1"/>
        <v>0</v>
      </c>
      <c r="O30" s="184"/>
      <c r="P30" s="183"/>
      <c r="Q30" s="184"/>
      <c r="R30" s="183"/>
      <c r="S30" s="185"/>
      <c r="T30" s="185"/>
      <c r="U30" s="186"/>
      <c r="V30" s="103"/>
      <c r="W30" s="148"/>
      <c r="X30" s="148"/>
      <c r="Y30" s="15"/>
      <c r="Z30" s="15"/>
      <c r="AA30" s="15"/>
      <c r="AB30" s="15"/>
    </row>
    <row r="31" spans="1:55" ht="237.2" customHeight="1" x14ac:dyDescent="0.25">
      <c r="A31" s="179">
        <v>10</v>
      </c>
      <c r="B31" s="180"/>
      <c r="C31" s="180"/>
      <c r="D31" s="198"/>
      <c r="E31" s="198"/>
      <c r="F31" s="180"/>
      <c r="G31" s="180"/>
      <c r="H31" s="180"/>
      <c r="I31" s="180"/>
      <c r="J31" s="180"/>
      <c r="K31" s="181"/>
      <c r="L31" s="182"/>
      <c r="M31" s="182">
        <f t="shared" si="0"/>
        <v>0</v>
      </c>
      <c r="N31" s="194">
        <f t="shared" si="1"/>
        <v>0</v>
      </c>
      <c r="O31" s="184"/>
      <c r="P31" s="183"/>
      <c r="Q31" s="184"/>
      <c r="R31" s="183"/>
      <c r="S31" s="185"/>
      <c r="T31" s="185"/>
      <c r="U31" s="186"/>
      <c r="V31" s="103"/>
      <c r="W31" s="148"/>
      <c r="X31" s="148"/>
      <c r="Y31" s="15"/>
      <c r="Z31" s="15"/>
      <c r="AA31" s="15"/>
      <c r="AB31" s="15"/>
    </row>
    <row r="32" spans="1:55" ht="237.2" customHeight="1" x14ac:dyDescent="0.25">
      <c r="A32" s="179">
        <v>11</v>
      </c>
      <c r="B32" s="180"/>
      <c r="C32" s="180"/>
      <c r="D32" s="198"/>
      <c r="E32" s="198"/>
      <c r="F32" s="180"/>
      <c r="G32" s="180"/>
      <c r="H32" s="180"/>
      <c r="I32" s="180"/>
      <c r="J32" s="180"/>
      <c r="K32" s="181"/>
      <c r="L32" s="182"/>
      <c r="M32" s="182">
        <f t="shared" si="0"/>
        <v>0</v>
      </c>
      <c r="N32" s="194">
        <f t="shared" si="1"/>
        <v>0</v>
      </c>
      <c r="O32" s="184"/>
      <c r="P32" s="183"/>
      <c r="Q32" s="184"/>
      <c r="R32" s="183"/>
      <c r="S32" s="185"/>
      <c r="T32" s="185"/>
      <c r="U32" s="186"/>
      <c r="V32" s="103"/>
      <c r="W32" s="148"/>
      <c r="X32" s="148"/>
      <c r="Y32" s="15"/>
      <c r="Z32" s="15"/>
      <c r="AA32" s="15"/>
      <c r="AB32" s="15"/>
    </row>
    <row r="33" spans="1:28" ht="237.2" customHeight="1" x14ac:dyDescent="0.25">
      <c r="A33" s="179">
        <v>12</v>
      </c>
      <c r="B33" s="180"/>
      <c r="C33" s="180"/>
      <c r="D33" s="198"/>
      <c r="E33" s="198"/>
      <c r="F33" s="180"/>
      <c r="G33" s="180"/>
      <c r="H33" s="180"/>
      <c r="I33" s="180"/>
      <c r="J33" s="180"/>
      <c r="K33" s="181"/>
      <c r="L33" s="182"/>
      <c r="M33" s="182">
        <f t="shared" si="0"/>
        <v>0</v>
      </c>
      <c r="N33" s="194">
        <f t="shared" si="1"/>
        <v>0</v>
      </c>
      <c r="O33" s="184"/>
      <c r="P33" s="183"/>
      <c r="Q33" s="184"/>
      <c r="R33" s="183"/>
      <c r="S33" s="185"/>
      <c r="T33" s="185"/>
      <c r="U33" s="186"/>
      <c r="V33" s="103"/>
      <c r="W33" s="148"/>
      <c r="X33" s="148"/>
      <c r="Y33" s="15"/>
      <c r="Z33" s="15"/>
      <c r="AA33" s="15"/>
      <c r="AB33" s="15"/>
    </row>
    <row r="34" spans="1:28" ht="237.2" customHeight="1" x14ac:dyDescent="0.25">
      <c r="A34" s="179">
        <v>13</v>
      </c>
      <c r="B34" s="180"/>
      <c r="C34" s="180"/>
      <c r="D34" s="198"/>
      <c r="E34" s="198"/>
      <c r="F34" s="180"/>
      <c r="G34" s="180"/>
      <c r="H34" s="180"/>
      <c r="I34" s="180"/>
      <c r="J34" s="180"/>
      <c r="K34" s="181"/>
      <c r="L34" s="182"/>
      <c r="M34" s="182">
        <f t="shared" si="0"/>
        <v>0</v>
      </c>
      <c r="N34" s="194">
        <f t="shared" si="1"/>
        <v>0</v>
      </c>
      <c r="O34" s="184"/>
      <c r="P34" s="183"/>
      <c r="Q34" s="184"/>
      <c r="R34" s="183"/>
      <c r="S34" s="185"/>
      <c r="T34" s="185"/>
      <c r="U34" s="186"/>
      <c r="V34" s="103"/>
      <c r="W34" s="148"/>
      <c r="X34" s="148"/>
      <c r="Y34" s="15"/>
      <c r="Z34" s="15"/>
      <c r="AA34" s="15"/>
      <c r="AB34" s="15"/>
    </row>
    <row r="35" spans="1:28" ht="237.2" customHeight="1" x14ac:dyDescent="0.25">
      <c r="A35" s="179">
        <v>14</v>
      </c>
      <c r="B35" s="180"/>
      <c r="C35" s="180"/>
      <c r="D35" s="198"/>
      <c r="E35" s="198"/>
      <c r="F35" s="180"/>
      <c r="G35" s="180"/>
      <c r="H35" s="180"/>
      <c r="I35" s="180"/>
      <c r="J35" s="180"/>
      <c r="K35" s="181"/>
      <c r="L35" s="182"/>
      <c r="M35" s="182">
        <f t="shared" si="0"/>
        <v>0</v>
      </c>
      <c r="N35" s="194">
        <f t="shared" si="1"/>
        <v>0</v>
      </c>
      <c r="O35" s="184"/>
      <c r="P35" s="183"/>
      <c r="Q35" s="184"/>
      <c r="R35" s="183"/>
      <c r="S35" s="185"/>
      <c r="T35" s="185"/>
      <c r="U35" s="186"/>
      <c r="V35" s="103"/>
      <c r="W35" s="148"/>
      <c r="X35" s="148"/>
      <c r="Y35" s="15"/>
      <c r="Z35" s="15"/>
      <c r="AA35" s="15"/>
      <c r="AB35" s="15"/>
    </row>
    <row r="36" spans="1:28" ht="237.2" customHeight="1" x14ac:dyDescent="0.25">
      <c r="A36" s="179">
        <v>15</v>
      </c>
      <c r="B36" s="180"/>
      <c r="C36" s="180"/>
      <c r="D36" s="198"/>
      <c r="E36" s="198"/>
      <c r="F36" s="180"/>
      <c r="G36" s="180"/>
      <c r="H36" s="180"/>
      <c r="I36" s="180"/>
      <c r="J36" s="180"/>
      <c r="K36" s="181"/>
      <c r="L36" s="182"/>
      <c r="M36" s="182">
        <f t="shared" si="0"/>
        <v>0</v>
      </c>
      <c r="N36" s="194">
        <f t="shared" si="1"/>
        <v>0</v>
      </c>
      <c r="O36" s="184"/>
      <c r="P36" s="183"/>
      <c r="Q36" s="184"/>
      <c r="R36" s="183"/>
      <c r="S36" s="185"/>
      <c r="T36" s="185"/>
      <c r="U36" s="186"/>
      <c r="V36" s="103"/>
      <c r="W36" s="148"/>
      <c r="X36" s="148"/>
      <c r="Y36" s="15"/>
      <c r="Z36" s="15"/>
      <c r="AA36" s="15"/>
      <c r="AB36" s="15"/>
    </row>
    <row r="37" spans="1:28" ht="237.2" customHeight="1" x14ac:dyDescent="0.25">
      <c r="A37" s="179">
        <v>16</v>
      </c>
      <c r="B37" s="180"/>
      <c r="C37" s="180"/>
      <c r="D37" s="198"/>
      <c r="E37" s="198"/>
      <c r="F37" s="180"/>
      <c r="G37" s="180"/>
      <c r="H37" s="180"/>
      <c r="I37" s="180"/>
      <c r="J37" s="180"/>
      <c r="K37" s="181"/>
      <c r="L37" s="182"/>
      <c r="M37" s="182">
        <f t="shared" si="0"/>
        <v>0</v>
      </c>
      <c r="N37" s="194">
        <f t="shared" si="1"/>
        <v>0</v>
      </c>
      <c r="O37" s="184"/>
      <c r="P37" s="183"/>
      <c r="Q37" s="184"/>
      <c r="R37" s="183"/>
      <c r="S37" s="185"/>
      <c r="T37" s="185"/>
      <c r="U37" s="186"/>
      <c r="V37" s="103"/>
      <c r="W37" s="148"/>
      <c r="X37" s="148"/>
      <c r="Y37" s="15"/>
      <c r="Z37" s="15"/>
      <c r="AA37" s="15"/>
      <c r="AB37" s="15"/>
    </row>
    <row r="38" spans="1:28" ht="237.2" customHeight="1" x14ac:dyDescent="0.25">
      <c r="A38" s="179">
        <v>17</v>
      </c>
      <c r="B38" s="180"/>
      <c r="C38" s="180"/>
      <c r="D38" s="198"/>
      <c r="E38" s="198"/>
      <c r="F38" s="180"/>
      <c r="G38" s="180"/>
      <c r="H38" s="180"/>
      <c r="I38" s="180"/>
      <c r="J38" s="180"/>
      <c r="K38" s="181"/>
      <c r="L38" s="182"/>
      <c r="M38" s="182">
        <f t="shared" si="0"/>
        <v>0</v>
      </c>
      <c r="N38" s="194">
        <f t="shared" si="1"/>
        <v>0</v>
      </c>
      <c r="O38" s="184"/>
      <c r="P38" s="183"/>
      <c r="Q38" s="184"/>
      <c r="R38" s="183"/>
      <c r="S38" s="185"/>
      <c r="T38" s="185"/>
      <c r="U38" s="186"/>
      <c r="V38" s="103"/>
      <c r="W38" s="148"/>
      <c r="X38" s="148"/>
      <c r="Y38" s="15"/>
      <c r="Z38" s="15"/>
      <c r="AA38" s="15"/>
      <c r="AB38" s="15"/>
    </row>
    <row r="39" spans="1:28" ht="237.2" customHeight="1" x14ac:dyDescent="0.25">
      <c r="A39" s="179">
        <v>18</v>
      </c>
      <c r="B39" s="180"/>
      <c r="C39" s="180"/>
      <c r="D39" s="198"/>
      <c r="E39" s="198"/>
      <c r="F39" s="180"/>
      <c r="G39" s="180"/>
      <c r="H39" s="180"/>
      <c r="I39" s="180"/>
      <c r="J39" s="180"/>
      <c r="K39" s="181"/>
      <c r="L39" s="182"/>
      <c r="M39" s="182">
        <f t="shared" si="0"/>
        <v>0</v>
      </c>
      <c r="N39" s="194">
        <f t="shared" si="1"/>
        <v>0</v>
      </c>
      <c r="O39" s="184"/>
      <c r="P39" s="183"/>
      <c r="Q39" s="184"/>
      <c r="R39" s="183"/>
      <c r="S39" s="185"/>
      <c r="T39" s="185"/>
      <c r="U39" s="186"/>
      <c r="V39" s="103"/>
      <c r="W39" s="148"/>
      <c r="X39" s="148"/>
      <c r="Y39" s="15"/>
      <c r="Z39" s="15"/>
      <c r="AA39" s="15"/>
      <c r="AB39" s="15"/>
    </row>
    <row r="40" spans="1:28" ht="237.2" customHeight="1" x14ac:dyDescent="0.25">
      <c r="A40" s="179">
        <v>19</v>
      </c>
      <c r="B40" s="180"/>
      <c r="C40" s="180"/>
      <c r="D40" s="198"/>
      <c r="E40" s="198"/>
      <c r="F40" s="180"/>
      <c r="G40" s="180"/>
      <c r="H40" s="180"/>
      <c r="I40" s="180"/>
      <c r="J40" s="180"/>
      <c r="K40" s="181"/>
      <c r="L40" s="182"/>
      <c r="M40" s="182">
        <f t="shared" si="0"/>
        <v>0</v>
      </c>
      <c r="N40" s="194">
        <f t="shared" si="1"/>
        <v>0</v>
      </c>
      <c r="O40" s="184"/>
      <c r="P40" s="183"/>
      <c r="Q40" s="184"/>
      <c r="R40" s="183"/>
      <c r="S40" s="185"/>
      <c r="T40" s="185"/>
      <c r="U40" s="186"/>
      <c r="V40" s="103"/>
      <c r="W40" s="148"/>
      <c r="X40" s="148"/>
      <c r="Y40" s="15"/>
      <c r="Z40" s="15"/>
      <c r="AA40" s="15"/>
      <c r="AB40" s="15"/>
    </row>
    <row r="41" spans="1:28" ht="237.2" customHeight="1" x14ac:dyDescent="0.25">
      <c r="A41" s="179">
        <v>20</v>
      </c>
      <c r="B41" s="180"/>
      <c r="C41" s="180"/>
      <c r="D41" s="198"/>
      <c r="E41" s="198"/>
      <c r="F41" s="180"/>
      <c r="G41" s="180"/>
      <c r="H41" s="180"/>
      <c r="I41" s="180"/>
      <c r="J41" s="180"/>
      <c r="K41" s="181"/>
      <c r="L41" s="182"/>
      <c r="M41" s="182">
        <f t="shared" si="0"/>
        <v>0</v>
      </c>
      <c r="N41" s="194">
        <f t="shared" si="1"/>
        <v>0</v>
      </c>
      <c r="O41" s="184"/>
      <c r="P41" s="183"/>
      <c r="Q41" s="184"/>
      <c r="R41" s="183"/>
      <c r="S41" s="185"/>
      <c r="T41" s="185"/>
      <c r="U41" s="186"/>
      <c r="V41" s="103"/>
      <c r="W41" s="148"/>
      <c r="X41" s="148"/>
      <c r="Y41" s="15"/>
      <c r="Z41" s="15"/>
      <c r="AA41" s="15"/>
      <c r="AB41" s="15"/>
    </row>
    <row r="42" spans="1:28" ht="237.2" customHeight="1" x14ac:dyDescent="0.25">
      <c r="A42" s="179">
        <v>21</v>
      </c>
      <c r="B42" s="180"/>
      <c r="C42" s="180"/>
      <c r="D42" s="198"/>
      <c r="E42" s="198"/>
      <c r="F42" s="180"/>
      <c r="G42" s="180"/>
      <c r="H42" s="180"/>
      <c r="I42" s="180"/>
      <c r="J42" s="180"/>
      <c r="K42" s="181"/>
      <c r="L42" s="182"/>
      <c r="M42" s="182">
        <f t="shared" si="0"/>
        <v>0</v>
      </c>
      <c r="N42" s="194">
        <f t="shared" si="1"/>
        <v>0</v>
      </c>
      <c r="O42" s="184"/>
      <c r="P42" s="183"/>
      <c r="Q42" s="184"/>
      <c r="R42" s="183"/>
      <c r="S42" s="185"/>
      <c r="T42" s="185"/>
      <c r="U42" s="186"/>
      <c r="V42" s="103"/>
      <c r="W42" s="148"/>
      <c r="X42" s="148"/>
      <c r="Y42" s="15"/>
      <c r="Z42" s="15"/>
      <c r="AA42" s="15"/>
      <c r="AB42" s="15"/>
    </row>
    <row r="43" spans="1:28" ht="237.2" customHeight="1" x14ac:dyDescent="0.25">
      <c r="A43" s="179">
        <v>22</v>
      </c>
      <c r="B43" s="180"/>
      <c r="C43" s="180"/>
      <c r="D43" s="198"/>
      <c r="E43" s="198"/>
      <c r="F43" s="180"/>
      <c r="G43" s="180"/>
      <c r="H43" s="180"/>
      <c r="I43" s="180"/>
      <c r="J43" s="180"/>
      <c r="K43" s="181"/>
      <c r="L43" s="182"/>
      <c r="M43" s="182">
        <f t="shared" si="0"/>
        <v>0</v>
      </c>
      <c r="N43" s="194">
        <f t="shared" si="1"/>
        <v>0</v>
      </c>
      <c r="O43" s="184"/>
      <c r="P43" s="183"/>
      <c r="Q43" s="184"/>
      <c r="R43" s="183"/>
      <c r="S43" s="185"/>
      <c r="T43" s="185"/>
      <c r="U43" s="186"/>
      <c r="V43" s="103"/>
      <c r="W43" s="148"/>
      <c r="X43" s="148"/>
      <c r="Y43" s="15"/>
      <c r="Z43" s="15"/>
      <c r="AA43" s="15"/>
      <c r="AB43" s="15"/>
    </row>
    <row r="44" spans="1:28" ht="237.2" customHeight="1" x14ac:dyDescent="0.25">
      <c r="A44" s="179">
        <v>23</v>
      </c>
      <c r="B44" s="180"/>
      <c r="C44" s="180"/>
      <c r="D44" s="198"/>
      <c r="E44" s="198"/>
      <c r="F44" s="180"/>
      <c r="G44" s="180"/>
      <c r="H44" s="180"/>
      <c r="I44" s="180"/>
      <c r="J44" s="180"/>
      <c r="K44" s="181"/>
      <c r="L44" s="182"/>
      <c r="M44" s="182">
        <f t="shared" si="0"/>
        <v>0</v>
      </c>
      <c r="N44" s="194">
        <f t="shared" si="1"/>
        <v>0</v>
      </c>
      <c r="O44" s="184"/>
      <c r="P44" s="183"/>
      <c r="Q44" s="184"/>
      <c r="R44" s="183"/>
      <c r="S44" s="185"/>
      <c r="T44" s="185"/>
      <c r="U44" s="186"/>
      <c r="V44" s="103"/>
      <c r="W44" s="148"/>
      <c r="X44" s="148"/>
      <c r="Y44" s="15"/>
      <c r="Z44" s="15"/>
      <c r="AA44" s="15"/>
      <c r="AB44" s="15"/>
    </row>
    <row r="45" spans="1:28" ht="237.2" customHeight="1" x14ac:dyDescent="0.25">
      <c r="A45" s="179">
        <v>24</v>
      </c>
      <c r="B45" s="180"/>
      <c r="C45" s="180"/>
      <c r="D45" s="198"/>
      <c r="E45" s="198"/>
      <c r="F45" s="180"/>
      <c r="G45" s="180"/>
      <c r="H45" s="180"/>
      <c r="I45" s="180"/>
      <c r="J45" s="180"/>
      <c r="K45" s="181"/>
      <c r="L45" s="182"/>
      <c r="M45" s="182">
        <f t="shared" si="0"/>
        <v>0</v>
      </c>
      <c r="N45" s="194">
        <f t="shared" si="1"/>
        <v>0</v>
      </c>
      <c r="O45" s="184"/>
      <c r="P45" s="183"/>
      <c r="Q45" s="184"/>
      <c r="R45" s="183"/>
      <c r="S45" s="185"/>
      <c r="T45" s="185"/>
      <c r="U45" s="186"/>
      <c r="V45" s="103"/>
      <c r="W45" s="148"/>
      <c r="X45" s="148"/>
      <c r="Y45" s="15"/>
      <c r="Z45" s="15"/>
      <c r="AA45" s="15"/>
      <c r="AB45" s="15"/>
    </row>
    <row r="46" spans="1:28" ht="237.2" customHeight="1" x14ac:dyDescent="0.25">
      <c r="A46" s="179">
        <v>25</v>
      </c>
      <c r="B46" s="180"/>
      <c r="C46" s="180"/>
      <c r="D46" s="198"/>
      <c r="E46" s="198"/>
      <c r="F46" s="180"/>
      <c r="G46" s="180"/>
      <c r="H46" s="180"/>
      <c r="I46" s="180"/>
      <c r="J46" s="180"/>
      <c r="K46" s="181"/>
      <c r="L46" s="182"/>
      <c r="M46" s="182">
        <f t="shared" si="0"/>
        <v>0</v>
      </c>
      <c r="N46" s="194">
        <f t="shared" si="1"/>
        <v>0</v>
      </c>
      <c r="O46" s="184"/>
      <c r="P46" s="183"/>
      <c r="Q46" s="184"/>
      <c r="R46" s="183"/>
      <c r="S46" s="185"/>
      <c r="T46" s="185"/>
      <c r="U46" s="186"/>
      <c r="V46" s="103"/>
      <c r="W46" s="148"/>
      <c r="X46" s="148"/>
      <c r="Y46" s="15"/>
      <c r="Z46" s="15"/>
      <c r="AA46" s="15"/>
      <c r="AB46" s="15"/>
    </row>
    <row r="47" spans="1:28" ht="237.2" customHeight="1" x14ac:dyDescent="0.25">
      <c r="A47" s="179">
        <v>26</v>
      </c>
      <c r="B47" s="180"/>
      <c r="C47" s="180"/>
      <c r="D47" s="198"/>
      <c r="E47" s="198"/>
      <c r="F47" s="180"/>
      <c r="G47" s="180"/>
      <c r="H47" s="180"/>
      <c r="I47" s="180"/>
      <c r="J47" s="180"/>
      <c r="K47" s="181"/>
      <c r="L47" s="182"/>
      <c r="M47" s="182">
        <f t="shared" si="0"/>
        <v>0</v>
      </c>
      <c r="N47" s="194">
        <f t="shared" si="1"/>
        <v>0</v>
      </c>
      <c r="O47" s="184"/>
      <c r="P47" s="183"/>
      <c r="Q47" s="184"/>
      <c r="R47" s="183"/>
      <c r="S47" s="185"/>
      <c r="T47" s="185"/>
      <c r="U47" s="186"/>
      <c r="V47" s="103"/>
      <c r="W47" s="148"/>
      <c r="X47" s="148"/>
      <c r="Y47" s="15"/>
      <c r="Z47" s="15"/>
      <c r="AA47" s="15"/>
      <c r="AB47" s="15"/>
    </row>
    <row r="48" spans="1:28" ht="237.2" customHeight="1" x14ac:dyDescent="0.25">
      <c r="A48" s="179">
        <v>27</v>
      </c>
      <c r="B48" s="180"/>
      <c r="C48" s="180"/>
      <c r="D48" s="198"/>
      <c r="E48" s="198"/>
      <c r="F48" s="180"/>
      <c r="G48" s="180"/>
      <c r="H48" s="180"/>
      <c r="I48" s="180"/>
      <c r="J48" s="180"/>
      <c r="K48" s="181"/>
      <c r="L48" s="182"/>
      <c r="M48" s="182">
        <f t="shared" si="0"/>
        <v>0</v>
      </c>
      <c r="N48" s="194">
        <f t="shared" si="1"/>
        <v>0</v>
      </c>
      <c r="O48" s="184"/>
      <c r="P48" s="183"/>
      <c r="Q48" s="184"/>
      <c r="R48" s="183"/>
      <c r="S48" s="185"/>
      <c r="T48" s="185"/>
      <c r="U48" s="186"/>
      <c r="V48" s="103"/>
      <c r="W48" s="148"/>
      <c r="X48" s="148"/>
      <c r="Y48" s="15"/>
      <c r="Z48" s="15"/>
      <c r="AA48" s="15"/>
      <c r="AB48" s="15"/>
    </row>
    <row r="49" spans="1:28" ht="237.2" customHeight="1" x14ac:dyDescent="0.25">
      <c r="A49" s="179">
        <v>28</v>
      </c>
      <c r="B49" s="180"/>
      <c r="C49" s="180"/>
      <c r="D49" s="198"/>
      <c r="E49" s="198"/>
      <c r="F49" s="180"/>
      <c r="G49" s="180"/>
      <c r="H49" s="180"/>
      <c r="I49" s="180"/>
      <c r="J49" s="180"/>
      <c r="K49" s="181"/>
      <c r="L49" s="182"/>
      <c r="M49" s="182">
        <f t="shared" si="0"/>
        <v>0</v>
      </c>
      <c r="N49" s="194">
        <f t="shared" si="1"/>
        <v>0</v>
      </c>
      <c r="O49" s="184"/>
      <c r="P49" s="183"/>
      <c r="Q49" s="184"/>
      <c r="R49" s="183"/>
      <c r="S49" s="185"/>
      <c r="T49" s="185"/>
      <c r="U49" s="186"/>
      <c r="V49" s="103"/>
      <c r="W49" s="148"/>
      <c r="X49" s="148"/>
      <c r="Y49" s="15"/>
      <c r="Z49" s="15"/>
      <c r="AA49" s="15"/>
      <c r="AB49" s="15"/>
    </row>
    <row r="50" spans="1:28" ht="237.2" customHeight="1" x14ac:dyDescent="0.25">
      <c r="A50" s="179">
        <v>29</v>
      </c>
      <c r="B50" s="180"/>
      <c r="C50" s="180"/>
      <c r="D50" s="198"/>
      <c r="E50" s="198"/>
      <c r="F50" s="180"/>
      <c r="G50" s="180"/>
      <c r="H50" s="180"/>
      <c r="I50" s="180"/>
      <c r="J50" s="180"/>
      <c r="K50" s="181"/>
      <c r="L50" s="182"/>
      <c r="M50" s="182">
        <f t="shared" si="0"/>
        <v>0</v>
      </c>
      <c r="N50" s="194">
        <f t="shared" si="1"/>
        <v>0</v>
      </c>
      <c r="O50" s="184"/>
      <c r="P50" s="183"/>
      <c r="Q50" s="184"/>
      <c r="R50" s="183"/>
      <c r="S50" s="185"/>
      <c r="T50" s="185"/>
      <c r="U50" s="186"/>
      <c r="V50" s="103"/>
      <c r="W50" s="148"/>
      <c r="X50" s="148"/>
      <c r="Y50" s="15"/>
      <c r="Z50" s="15"/>
      <c r="AA50" s="15"/>
      <c r="AB50" s="15"/>
    </row>
    <row r="51" spans="1:28" ht="237.2" customHeight="1" x14ac:dyDescent="0.25">
      <c r="A51" s="179">
        <v>30</v>
      </c>
      <c r="B51" s="180"/>
      <c r="C51" s="180"/>
      <c r="D51" s="198"/>
      <c r="E51" s="198"/>
      <c r="F51" s="180"/>
      <c r="G51" s="180"/>
      <c r="H51" s="180"/>
      <c r="I51" s="180"/>
      <c r="J51" s="180"/>
      <c r="K51" s="181"/>
      <c r="L51" s="182"/>
      <c r="M51" s="182">
        <f t="shared" si="0"/>
        <v>0</v>
      </c>
      <c r="N51" s="194">
        <f t="shared" si="1"/>
        <v>0</v>
      </c>
      <c r="O51" s="184"/>
      <c r="P51" s="183"/>
      <c r="Q51" s="184"/>
      <c r="R51" s="183"/>
      <c r="S51" s="185"/>
      <c r="T51" s="185"/>
      <c r="U51" s="186"/>
      <c r="V51" s="103"/>
      <c r="W51" s="148"/>
      <c r="X51" s="148"/>
      <c r="Y51" s="15"/>
      <c r="Z51" s="15"/>
      <c r="AA51" s="15"/>
      <c r="AB51" s="15"/>
    </row>
    <row r="52" spans="1:28" ht="237.2" customHeight="1" x14ac:dyDescent="0.25">
      <c r="A52" s="179">
        <v>31</v>
      </c>
      <c r="B52" s="180"/>
      <c r="C52" s="180"/>
      <c r="D52" s="198"/>
      <c r="E52" s="198"/>
      <c r="F52" s="180"/>
      <c r="G52" s="180"/>
      <c r="H52" s="180"/>
      <c r="I52" s="180"/>
      <c r="J52" s="180"/>
      <c r="K52" s="181"/>
      <c r="L52" s="182"/>
      <c r="M52" s="182">
        <f t="shared" si="0"/>
        <v>0</v>
      </c>
      <c r="N52" s="194">
        <f t="shared" si="1"/>
        <v>0</v>
      </c>
      <c r="O52" s="184"/>
      <c r="P52" s="183"/>
      <c r="Q52" s="184"/>
      <c r="R52" s="183"/>
      <c r="S52" s="185"/>
      <c r="T52" s="185"/>
      <c r="U52" s="186"/>
      <c r="V52" s="103"/>
      <c r="W52" s="148"/>
      <c r="X52" s="148"/>
      <c r="Y52" s="15"/>
      <c r="Z52" s="15"/>
      <c r="AA52" s="15"/>
      <c r="AB52" s="15"/>
    </row>
    <row r="53" spans="1:28" ht="237.2" customHeight="1" x14ac:dyDescent="0.25">
      <c r="A53" s="179">
        <v>32</v>
      </c>
      <c r="B53" s="180"/>
      <c r="C53" s="180"/>
      <c r="D53" s="198"/>
      <c r="E53" s="198"/>
      <c r="F53" s="180"/>
      <c r="G53" s="180"/>
      <c r="H53" s="180"/>
      <c r="I53" s="180"/>
      <c r="J53" s="180"/>
      <c r="K53" s="181"/>
      <c r="L53" s="182"/>
      <c r="M53" s="182">
        <f t="shared" si="0"/>
        <v>0</v>
      </c>
      <c r="N53" s="194">
        <f t="shared" si="1"/>
        <v>0</v>
      </c>
      <c r="O53" s="184"/>
      <c r="P53" s="183"/>
      <c r="Q53" s="184"/>
      <c r="R53" s="183"/>
      <c r="S53" s="185"/>
      <c r="T53" s="185"/>
      <c r="U53" s="186"/>
      <c r="V53" s="103"/>
      <c r="W53" s="148"/>
      <c r="X53" s="148"/>
      <c r="Y53" s="15"/>
      <c r="Z53" s="15"/>
      <c r="AA53" s="15"/>
      <c r="AB53" s="15"/>
    </row>
    <row r="54" spans="1:28" ht="237.2" customHeight="1" x14ac:dyDescent="0.25">
      <c r="A54" s="179">
        <v>33</v>
      </c>
      <c r="B54" s="180"/>
      <c r="C54" s="180"/>
      <c r="D54" s="198"/>
      <c r="E54" s="198"/>
      <c r="F54" s="180"/>
      <c r="G54" s="180"/>
      <c r="H54" s="180"/>
      <c r="I54" s="180"/>
      <c r="J54" s="180"/>
      <c r="K54" s="181"/>
      <c r="L54" s="182"/>
      <c r="M54" s="182">
        <f t="shared" si="0"/>
        <v>0</v>
      </c>
      <c r="N54" s="194">
        <f t="shared" si="1"/>
        <v>0</v>
      </c>
      <c r="O54" s="184"/>
      <c r="P54" s="183"/>
      <c r="Q54" s="184"/>
      <c r="R54" s="183"/>
      <c r="S54" s="185"/>
      <c r="T54" s="185"/>
      <c r="U54" s="186"/>
      <c r="V54" s="103"/>
      <c r="W54" s="148"/>
      <c r="X54" s="148"/>
      <c r="Y54" s="15"/>
      <c r="Z54" s="15"/>
      <c r="AA54" s="15"/>
      <c r="AB54" s="15"/>
    </row>
    <row r="55" spans="1:28" ht="237.2" customHeight="1" x14ac:dyDescent="0.25">
      <c r="A55" s="179">
        <v>34</v>
      </c>
      <c r="B55" s="180"/>
      <c r="C55" s="180"/>
      <c r="D55" s="198"/>
      <c r="E55" s="198"/>
      <c r="F55" s="180"/>
      <c r="G55" s="180"/>
      <c r="H55" s="180"/>
      <c r="I55" s="180"/>
      <c r="J55" s="180"/>
      <c r="K55" s="181"/>
      <c r="L55" s="182"/>
      <c r="M55" s="182">
        <f t="shared" si="0"/>
        <v>0</v>
      </c>
      <c r="N55" s="194">
        <f t="shared" si="1"/>
        <v>0</v>
      </c>
      <c r="O55" s="184"/>
      <c r="P55" s="183"/>
      <c r="Q55" s="184"/>
      <c r="R55" s="183"/>
      <c r="S55" s="185"/>
      <c r="T55" s="185"/>
      <c r="U55" s="186"/>
      <c r="V55" s="103"/>
      <c r="W55" s="148"/>
      <c r="X55" s="148"/>
      <c r="Y55" s="15"/>
      <c r="Z55" s="15"/>
      <c r="AA55" s="15"/>
      <c r="AB55" s="15"/>
    </row>
    <row r="56" spans="1:28" ht="237.2" customHeight="1" x14ac:dyDescent="0.25">
      <c r="A56" s="179">
        <v>35</v>
      </c>
      <c r="B56" s="180"/>
      <c r="C56" s="180"/>
      <c r="D56" s="198"/>
      <c r="E56" s="198"/>
      <c r="F56" s="180"/>
      <c r="G56" s="180"/>
      <c r="H56" s="180"/>
      <c r="I56" s="180"/>
      <c r="J56" s="180"/>
      <c r="K56" s="181"/>
      <c r="L56" s="182"/>
      <c r="M56" s="182">
        <f t="shared" si="0"/>
        <v>0</v>
      </c>
      <c r="N56" s="194">
        <f t="shared" si="1"/>
        <v>0</v>
      </c>
      <c r="O56" s="184"/>
      <c r="P56" s="183"/>
      <c r="Q56" s="184"/>
      <c r="R56" s="183"/>
      <c r="S56" s="185"/>
      <c r="T56" s="185"/>
      <c r="U56" s="186"/>
      <c r="V56" s="103"/>
      <c r="W56" s="148"/>
      <c r="X56" s="148"/>
      <c r="Y56" s="15"/>
      <c r="Z56" s="15"/>
      <c r="AA56" s="15"/>
      <c r="AB56" s="15"/>
    </row>
    <row r="57" spans="1:28" ht="237.2" customHeight="1" x14ac:dyDescent="0.25">
      <c r="A57" s="179">
        <v>36</v>
      </c>
      <c r="B57" s="180"/>
      <c r="C57" s="180"/>
      <c r="D57" s="198"/>
      <c r="E57" s="198"/>
      <c r="F57" s="180"/>
      <c r="G57" s="180"/>
      <c r="H57" s="180"/>
      <c r="I57" s="180"/>
      <c r="J57" s="180"/>
      <c r="K57" s="181"/>
      <c r="L57" s="182"/>
      <c r="M57" s="182">
        <f t="shared" si="0"/>
        <v>0</v>
      </c>
      <c r="N57" s="194">
        <f t="shared" si="1"/>
        <v>0</v>
      </c>
      <c r="O57" s="184"/>
      <c r="P57" s="183"/>
      <c r="Q57" s="184"/>
      <c r="R57" s="183"/>
      <c r="S57" s="185"/>
      <c r="T57" s="185"/>
      <c r="U57" s="186"/>
      <c r="V57" s="103"/>
      <c r="W57" s="148"/>
      <c r="X57" s="148"/>
      <c r="Y57" s="15"/>
      <c r="Z57" s="15"/>
      <c r="AA57" s="15"/>
      <c r="AB57" s="15"/>
    </row>
    <row r="58" spans="1:28" ht="237.2" customHeight="1" x14ac:dyDescent="0.25">
      <c r="A58" s="179">
        <v>37</v>
      </c>
      <c r="B58" s="180"/>
      <c r="C58" s="180"/>
      <c r="D58" s="198"/>
      <c r="E58" s="198"/>
      <c r="F58" s="180"/>
      <c r="G58" s="180"/>
      <c r="H58" s="180"/>
      <c r="I58" s="180"/>
      <c r="J58" s="180"/>
      <c r="K58" s="181"/>
      <c r="L58" s="182"/>
      <c r="M58" s="182">
        <f t="shared" si="0"/>
        <v>0</v>
      </c>
      <c r="N58" s="194">
        <f t="shared" si="1"/>
        <v>0</v>
      </c>
      <c r="O58" s="184"/>
      <c r="P58" s="183"/>
      <c r="Q58" s="184"/>
      <c r="R58" s="183"/>
      <c r="S58" s="185"/>
      <c r="T58" s="185"/>
      <c r="U58" s="186"/>
      <c r="V58" s="103"/>
      <c r="W58" s="148"/>
      <c r="X58" s="148"/>
      <c r="Y58" s="15"/>
      <c r="Z58" s="15"/>
      <c r="AA58" s="15"/>
      <c r="AB58" s="15"/>
    </row>
    <row r="59" spans="1:28" ht="237.2" customHeight="1" x14ac:dyDescent="0.25">
      <c r="A59" s="179">
        <v>38</v>
      </c>
      <c r="B59" s="180"/>
      <c r="C59" s="180"/>
      <c r="D59" s="198"/>
      <c r="E59" s="198"/>
      <c r="F59" s="180"/>
      <c r="G59" s="180"/>
      <c r="H59" s="180"/>
      <c r="I59" s="180"/>
      <c r="J59" s="180"/>
      <c r="K59" s="181"/>
      <c r="L59" s="182"/>
      <c r="M59" s="182">
        <f t="shared" si="0"/>
        <v>0</v>
      </c>
      <c r="N59" s="194">
        <f t="shared" si="1"/>
        <v>0</v>
      </c>
      <c r="O59" s="184"/>
      <c r="P59" s="183"/>
      <c r="Q59" s="184"/>
      <c r="R59" s="183"/>
      <c r="S59" s="185"/>
      <c r="T59" s="185"/>
      <c r="U59" s="186"/>
      <c r="V59" s="103"/>
      <c r="W59" s="148"/>
      <c r="X59" s="148"/>
      <c r="Y59" s="15"/>
      <c r="Z59" s="15"/>
      <c r="AA59" s="15"/>
      <c r="AB59" s="15"/>
    </row>
    <row r="60" spans="1:28" ht="237.2" customHeight="1" x14ac:dyDescent="0.25">
      <c r="A60" s="179">
        <v>39</v>
      </c>
      <c r="B60" s="180"/>
      <c r="C60" s="180"/>
      <c r="D60" s="198"/>
      <c r="E60" s="198"/>
      <c r="F60" s="180"/>
      <c r="G60" s="180"/>
      <c r="H60" s="180"/>
      <c r="I60" s="180"/>
      <c r="J60" s="180"/>
      <c r="K60" s="181"/>
      <c r="L60" s="182"/>
      <c r="M60" s="182">
        <f t="shared" si="0"/>
        <v>0</v>
      </c>
      <c r="N60" s="194">
        <f t="shared" si="1"/>
        <v>0</v>
      </c>
      <c r="O60" s="184"/>
      <c r="P60" s="183"/>
      <c r="Q60" s="184"/>
      <c r="R60" s="183"/>
      <c r="S60" s="185"/>
      <c r="T60" s="185"/>
      <c r="U60" s="186"/>
      <c r="V60" s="103"/>
      <c r="W60" s="148"/>
      <c r="X60" s="148"/>
      <c r="Y60" s="15"/>
      <c r="Z60" s="15"/>
      <c r="AA60" s="15"/>
      <c r="AB60" s="15"/>
    </row>
    <row r="61" spans="1:28" ht="237.2" customHeight="1" x14ac:dyDescent="0.25">
      <c r="A61" s="179">
        <v>40</v>
      </c>
      <c r="B61" s="180"/>
      <c r="C61" s="180"/>
      <c r="D61" s="198"/>
      <c r="E61" s="198"/>
      <c r="F61" s="180"/>
      <c r="G61" s="180"/>
      <c r="H61" s="180"/>
      <c r="I61" s="180"/>
      <c r="J61" s="180"/>
      <c r="K61" s="181"/>
      <c r="L61" s="182"/>
      <c r="M61" s="182">
        <f t="shared" si="0"/>
        <v>0</v>
      </c>
      <c r="N61" s="194">
        <f t="shared" si="1"/>
        <v>0</v>
      </c>
      <c r="O61" s="184"/>
      <c r="P61" s="183"/>
      <c r="Q61" s="184"/>
      <c r="R61" s="183"/>
      <c r="S61" s="185"/>
      <c r="T61" s="185"/>
      <c r="U61" s="186"/>
      <c r="V61" s="103"/>
      <c r="W61" s="148"/>
      <c r="X61" s="148"/>
      <c r="Y61" s="15"/>
      <c r="Z61" s="15"/>
      <c r="AA61" s="15"/>
      <c r="AB61" s="15"/>
    </row>
    <row r="62" spans="1:28" ht="237.2" customHeight="1" x14ac:dyDescent="0.25">
      <c r="A62" s="179">
        <v>41</v>
      </c>
      <c r="B62" s="180"/>
      <c r="C62" s="180"/>
      <c r="D62" s="198"/>
      <c r="E62" s="198"/>
      <c r="F62" s="180"/>
      <c r="G62" s="180"/>
      <c r="H62" s="180"/>
      <c r="I62" s="180"/>
      <c r="J62" s="180"/>
      <c r="K62" s="181"/>
      <c r="L62" s="182"/>
      <c r="M62" s="182">
        <f t="shared" si="0"/>
        <v>0</v>
      </c>
      <c r="N62" s="194">
        <f t="shared" si="1"/>
        <v>0</v>
      </c>
      <c r="O62" s="184"/>
      <c r="P62" s="183"/>
      <c r="Q62" s="184"/>
      <c r="R62" s="183"/>
      <c r="S62" s="185"/>
      <c r="T62" s="185"/>
      <c r="U62" s="186"/>
      <c r="V62" s="103"/>
      <c r="W62" s="148"/>
      <c r="X62" s="148"/>
      <c r="Y62" s="15"/>
      <c r="Z62" s="15"/>
      <c r="AA62" s="15"/>
      <c r="AB62" s="15"/>
    </row>
    <row r="63" spans="1:28" ht="237.2" customHeight="1" x14ac:dyDescent="0.25">
      <c r="A63" s="179">
        <v>42</v>
      </c>
      <c r="B63" s="180"/>
      <c r="C63" s="180"/>
      <c r="D63" s="198"/>
      <c r="E63" s="198"/>
      <c r="F63" s="180"/>
      <c r="G63" s="180"/>
      <c r="H63" s="180"/>
      <c r="I63" s="180"/>
      <c r="J63" s="180"/>
      <c r="K63" s="181"/>
      <c r="L63" s="182"/>
      <c r="M63" s="182">
        <f t="shared" si="0"/>
        <v>0</v>
      </c>
      <c r="N63" s="194">
        <f t="shared" si="1"/>
        <v>0</v>
      </c>
      <c r="O63" s="184"/>
      <c r="P63" s="183"/>
      <c r="Q63" s="184"/>
      <c r="R63" s="183"/>
      <c r="S63" s="185"/>
      <c r="T63" s="185"/>
      <c r="U63" s="186"/>
      <c r="V63" s="103"/>
      <c r="W63" s="148"/>
      <c r="X63" s="148"/>
      <c r="Y63" s="15"/>
      <c r="Z63" s="15"/>
      <c r="AA63" s="15"/>
      <c r="AB63" s="15"/>
    </row>
    <row r="64" spans="1:28" ht="237.2" customHeight="1" x14ac:dyDescent="0.25">
      <c r="A64" s="179">
        <v>43</v>
      </c>
      <c r="B64" s="180"/>
      <c r="C64" s="180"/>
      <c r="D64" s="198"/>
      <c r="E64" s="198"/>
      <c r="F64" s="180"/>
      <c r="G64" s="180"/>
      <c r="H64" s="180"/>
      <c r="I64" s="180"/>
      <c r="J64" s="180"/>
      <c r="K64" s="181"/>
      <c r="L64" s="182"/>
      <c r="M64" s="182">
        <f t="shared" si="0"/>
        <v>0</v>
      </c>
      <c r="N64" s="194">
        <f t="shared" si="1"/>
        <v>0</v>
      </c>
      <c r="O64" s="184"/>
      <c r="P64" s="183"/>
      <c r="Q64" s="184"/>
      <c r="R64" s="183"/>
      <c r="S64" s="185"/>
      <c r="T64" s="185"/>
      <c r="U64" s="186"/>
      <c r="V64" s="103"/>
      <c r="W64" s="148"/>
      <c r="X64" s="148"/>
      <c r="Y64" s="15"/>
      <c r="Z64" s="15"/>
      <c r="AA64" s="15"/>
      <c r="AB64" s="15"/>
    </row>
    <row r="65" spans="1:28" ht="237.2" customHeight="1" x14ac:dyDescent="0.25">
      <c r="A65" s="179">
        <v>44</v>
      </c>
      <c r="B65" s="180"/>
      <c r="C65" s="180"/>
      <c r="D65" s="198"/>
      <c r="E65" s="198"/>
      <c r="F65" s="180"/>
      <c r="G65" s="180"/>
      <c r="H65" s="180"/>
      <c r="I65" s="180"/>
      <c r="J65" s="180"/>
      <c r="K65" s="181"/>
      <c r="L65" s="182"/>
      <c r="M65" s="182">
        <f t="shared" si="0"/>
        <v>0</v>
      </c>
      <c r="N65" s="194">
        <f t="shared" si="1"/>
        <v>0</v>
      </c>
      <c r="O65" s="184"/>
      <c r="P65" s="183"/>
      <c r="Q65" s="184"/>
      <c r="R65" s="183"/>
      <c r="S65" s="185"/>
      <c r="T65" s="185"/>
      <c r="U65" s="186"/>
      <c r="V65" s="103"/>
      <c r="W65" s="148"/>
      <c r="X65" s="148"/>
      <c r="Y65" s="15"/>
      <c r="Z65" s="15"/>
      <c r="AA65" s="15"/>
      <c r="AB65" s="15"/>
    </row>
    <row r="66" spans="1:28" ht="237.2" customHeight="1" x14ac:dyDescent="0.25">
      <c r="A66" s="179">
        <v>45</v>
      </c>
      <c r="B66" s="180"/>
      <c r="C66" s="180"/>
      <c r="D66" s="198"/>
      <c r="E66" s="198"/>
      <c r="F66" s="180"/>
      <c r="G66" s="180"/>
      <c r="H66" s="180"/>
      <c r="I66" s="180"/>
      <c r="J66" s="180"/>
      <c r="K66" s="181"/>
      <c r="L66" s="182"/>
      <c r="M66" s="182">
        <f t="shared" si="0"/>
        <v>0</v>
      </c>
      <c r="N66" s="194">
        <f t="shared" si="1"/>
        <v>0</v>
      </c>
      <c r="O66" s="184"/>
      <c r="P66" s="183"/>
      <c r="Q66" s="184"/>
      <c r="R66" s="183"/>
      <c r="S66" s="185"/>
      <c r="T66" s="185"/>
      <c r="U66" s="186"/>
      <c r="V66" s="103"/>
      <c r="W66" s="148"/>
      <c r="X66" s="148"/>
      <c r="Y66" s="15"/>
      <c r="Z66" s="15"/>
      <c r="AA66" s="15"/>
      <c r="AB66" s="15"/>
    </row>
    <row r="67" spans="1:28" ht="237.2" customHeight="1" x14ac:dyDescent="0.25">
      <c r="A67" s="179">
        <v>46</v>
      </c>
      <c r="B67" s="180"/>
      <c r="C67" s="180"/>
      <c r="D67" s="198"/>
      <c r="E67" s="198"/>
      <c r="F67" s="180"/>
      <c r="G67" s="180"/>
      <c r="H67" s="180"/>
      <c r="I67" s="180"/>
      <c r="J67" s="180"/>
      <c r="K67" s="181"/>
      <c r="L67" s="182"/>
      <c r="M67" s="182">
        <f t="shared" si="0"/>
        <v>0</v>
      </c>
      <c r="N67" s="194">
        <f t="shared" si="1"/>
        <v>0</v>
      </c>
      <c r="O67" s="184"/>
      <c r="P67" s="183"/>
      <c r="Q67" s="184"/>
      <c r="R67" s="183"/>
      <c r="S67" s="185"/>
      <c r="T67" s="185"/>
      <c r="U67" s="186"/>
      <c r="V67" s="103"/>
      <c r="W67" s="148"/>
      <c r="X67" s="148"/>
      <c r="Y67" s="15"/>
      <c r="Z67" s="15"/>
      <c r="AA67" s="15"/>
      <c r="AB67" s="15"/>
    </row>
    <row r="68" spans="1:28" ht="237.2" customHeight="1" x14ac:dyDescent="0.25">
      <c r="A68" s="179">
        <v>47</v>
      </c>
      <c r="B68" s="180"/>
      <c r="C68" s="180"/>
      <c r="D68" s="198"/>
      <c r="E68" s="198"/>
      <c r="F68" s="180"/>
      <c r="G68" s="180"/>
      <c r="H68" s="180"/>
      <c r="I68" s="180"/>
      <c r="J68" s="180"/>
      <c r="K68" s="181"/>
      <c r="L68" s="182"/>
      <c r="M68" s="182">
        <f t="shared" si="0"/>
        <v>0</v>
      </c>
      <c r="N68" s="194">
        <f t="shared" si="1"/>
        <v>0</v>
      </c>
      <c r="O68" s="184"/>
      <c r="P68" s="183"/>
      <c r="Q68" s="184"/>
      <c r="R68" s="183"/>
      <c r="S68" s="185"/>
      <c r="T68" s="185"/>
      <c r="U68" s="186"/>
      <c r="V68" s="103"/>
      <c r="W68" s="148"/>
      <c r="X68" s="148"/>
      <c r="Y68" s="15"/>
      <c r="Z68" s="15"/>
      <c r="AA68" s="15"/>
      <c r="AB68" s="15"/>
    </row>
    <row r="69" spans="1:28" ht="237.2" customHeight="1" x14ac:dyDescent="0.25">
      <c r="A69" s="179">
        <v>48</v>
      </c>
      <c r="B69" s="180"/>
      <c r="C69" s="180"/>
      <c r="D69" s="198"/>
      <c r="E69" s="198"/>
      <c r="F69" s="180"/>
      <c r="G69" s="180"/>
      <c r="H69" s="180"/>
      <c r="I69" s="180"/>
      <c r="J69" s="180"/>
      <c r="K69" s="181"/>
      <c r="L69" s="182"/>
      <c r="M69" s="182">
        <f t="shared" si="0"/>
        <v>0</v>
      </c>
      <c r="N69" s="194">
        <f t="shared" si="1"/>
        <v>0</v>
      </c>
      <c r="O69" s="184"/>
      <c r="P69" s="183"/>
      <c r="Q69" s="184"/>
      <c r="R69" s="183"/>
      <c r="S69" s="185"/>
      <c r="T69" s="185"/>
      <c r="U69" s="186"/>
      <c r="V69" s="103"/>
      <c r="W69" s="148"/>
      <c r="X69" s="148"/>
      <c r="Y69" s="15"/>
      <c r="Z69" s="15"/>
      <c r="AA69" s="15"/>
      <c r="AB69" s="15"/>
    </row>
    <row r="70" spans="1:28" ht="237.2" customHeight="1" x14ac:dyDescent="0.25">
      <c r="A70" s="179">
        <v>49</v>
      </c>
      <c r="B70" s="180"/>
      <c r="C70" s="180"/>
      <c r="D70" s="198"/>
      <c r="E70" s="198"/>
      <c r="F70" s="180"/>
      <c r="G70" s="180"/>
      <c r="H70" s="180"/>
      <c r="I70" s="180"/>
      <c r="J70" s="180"/>
      <c r="K70" s="181"/>
      <c r="L70" s="182"/>
      <c r="M70" s="182">
        <f t="shared" si="0"/>
        <v>0</v>
      </c>
      <c r="N70" s="194">
        <f t="shared" si="1"/>
        <v>0</v>
      </c>
      <c r="O70" s="184"/>
      <c r="P70" s="183"/>
      <c r="Q70" s="184"/>
      <c r="R70" s="183"/>
      <c r="S70" s="185"/>
      <c r="T70" s="185"/>
      <c r="U70" s="186"/>
      <c r="V70" s="103"/>
      <c r="W70" s="148"/>
      <c r="X70" s="148"/>
      <c r="Y70" s="15"/>
      <c r="Z70" s="15"/>
      <c r="AA70" s="15"/>
      <c r="AB70" s="15"/>
    </row>
    <row r="71" spans="1:28" ht="237.2" customHeight="1" x14ac:dyDescent="0.25">
      <c r="A71" s="179">
        <v>50</v>
      </c>
      <c r="B71" s="180"/>
      <c r="C71" s="180"/>
      <c r="D71" s="198"/>
      <c r="E71" s="198"/>
      <c r="F71" s="180"/>
      <c r="G71" s="180"/>
      <c r="H71" s="180"/>
      <c r="I71" s="180"/>
      <c r="J71" s="180"/>
      <c r="K71" s="181"/>
      <c r="L71" s="182"/>
      <c r="M71" s="182">
        <f t="shared" si="0"/>
        <v>0</v>
      </c>
      <c r="N71" s="194">
        <f t="shared" si="1"/>
        <v>0</v>
      </c>
      <c r="O71" s="184"/>
      <c r="P71" s="183"/>
      <c r="Q71" s="184"/>
      <c r="R71" s="183"/>
      <c r="S71" s="185"/>
      <c r="T71" s="185"/>
      <c r="U71" s="186"/>
      <c r="V71" s="103"/>
      <c r="W71" s="148"/>
      <c r="X71" s="148"/>
      <c r="Y71" s="15"/>
      <c r="Z71" s="15"/>
      <c r="AA71" s="15"/>
      <c r="AB71" s="15"/>
    </row>
    <row r="72" spans="1:28" ht="237.2" customHeight="1" x14ac:dyDescent="0.25">
      <c r="A72" s="179">
        <v>51</v>
      </c>
      <c r="B72" s="180"/>
      <c r="C72" s="180"/>
      <c r="D72" s="198"/>
      <c r="E72" s="198"/>
      <c r="F72" s="180"/>
      <c r="G72" s="180"/>
      <c r="H72" s="180"/>
      <c r="I72" s="180"/>
      <c r="J72" s="180"/>
      <c r="K72" s="181"/>
      <c r="L72" s="182"/>
      <c r="M72" s="182">
        <f t="shared" si="0"/>
        <v>0</v>
      </c>
      <c r="N72" s="194">
        <f t="shared" si="1"/>
        <v>0</v>
      </c>
      <c r="O72" s="184"/>
      <c r="P72" s="183"/>
      <c r="Q72" s="184"/>
      <c r="R72" s="183"/>
      <c r="S72" s="185"/>
      <c r="T72" s="185"/>
      <c r="U72" s="186"/>
      <c r="V72" s="103"/>
      <c r="W72" s="148"/>
      <c r="X72" s="148"/>
      <c r="Y72" s="15"/>
      <c r="Z72" s="15"/>
      <c r="AA72" s="15"/>
      <c r="AB72" s="15"/>
    </row>
    <row r="73" spans="1:28" ht="237.2" customHeight="1" x14ac:dyDescent="0.25">
      <c r="A73" s="179">
        <v>52</v>
      </c>
      <c r="B73" s="180"/>
      <c r="C73" s="180"/>
      <c r="D73" s="198"/>
      <c r="E73" s="198"/>
      <c r="F73" s="180"/>
      <c r="G73" s="180"/>
      <c r="H73" s="180"/>
      <c r="I73" s="180"/>
      <c r="J73" s="180"/>
      <c r="K73" s="181"/>
      <c r="L73" s="182"/>
      <c r="M73" s="182">
        <f t="shared" si="0"/>
        <v>0</v>
      </c>
      <c r="N73" s="194">
        <f t="shared" si="1"/>
        <v>0</v>
      </c>
      <c r="O73" s="184"/>
      <c r="P73" s="183"/>
      <c r="Q73" s="184"/>
      <c r="R73" s="183"/>
      <c r="S73" s="185"/>
      <c r="T73" s="185"/>
      <c r="U73" s="186"/>
      <c r="V73" s="103"/>
      <c r="W73" s="148"/>
      <c r="X73" s="148"/>
      <c r="Y73" s="15"/>
      <c r="Z73" s="15"/>
      <c r="AA73" s="15"/>
      <c r="AB73" s="15"/>
    </row>
    <row r="74" spans="1:28" ht="237.2" customHeight="1" x14ac:dyDescent="0.25">
      <c r="A74" s="179">
        <v>53</v>
      </c>
      <c r="B74" s="180"/>
      <c r="C74" s="180"/>
      <c r="D74" s="198"/>
      <c r="E74" s="198"/>
      <c r="F74" s="180"/>
      <c r="G74" s="180"/>
      <c r="H74" s="180"/>
      <c r="I74" s="180"/>
      <c r="J74" s="180"/>
      <c r="K74" s="181"/>
      <c r="L74" s="182"/>
      <c r="M74" s="182">
        <f t="shared" si="0"/>
        <v>0</v>
      </c>
      <c r="N74" s="194">
        <f t="shared" si="1"/>
        <v>0</v>
      </c>
      <c r="O74" s="184"/>
      <c r="P74" s="183"/>
      <c r="Q74" s="184"/>
      <c r="R74" s="183"/>
      <c r="S74" s="185"/>
      <c r="T74" s="185"/>
      <c r="U74" s="186"/>
      <c r="V74" s="103"/>
      <c r="W74" s="103"/>
      <c r="X74" s="103"/>
    </row>
    <row r="75" spans="1:28" ht="237.2" customHeight="1" x14ac:dyDescent="0.25">
      <c r="A75" s="179">
        <v>54</v>
      </c>
      <c r="B75" s="180"/>
      <c r="C75" s="180"/>
      <c r="D75" s="198"/>
      <c r="E75" s="198"/>
      <c r="F75" s="180"/>
      <c r="G75" s="180"/>
      <c r="H75" s="180"/>
      <c r="I75" s="180"/>
      <c r="J75" s="180"/>
      <c r="K75" s="181"/>
      <c r="L75" s="182"/>
      <c r="M75" s="182">
        <f t="shared" si="0"/>
        <v>0</v>
      </c>
      <c r="N75" s="194">
        <f t="shared" si="1"/>
        <v>0</v>
      </c>
      <c r="O75" s="184"/>
      <c r="P75" s="183"/>
      <c r="Q75" s="184"/>
      <c r="R75" s="183"/>
      <c r="S75" s="185"/>
      <c r="T75" s="185"/>
      <c r="U75" s="186"/>
      <c r="V75" s="103"/>
      <c r="W75" s="103"/>
      <c r="X75" s="103"/>
    </row>
    <row r="76" spans="1:28" ht="237.2" customHeight="1" x14ac:dyDescent="0.25">
      <c r="A76" s="179">
        <v>55</v>
      </c>
      <c r="B76" s="180"/>
      <c r="C76" s="180"/>
      <c r="D76" s="198"/>
      <c r="E76" s="198"/>
      <c r="F76" s="180"/>
      <c r="G76" s="180"/>
      <c r="H76" s="180"/>
      <c r="I76" s="180"/>
      <c r="J76" s="180"/>
      <c r="K76" s="181"/>
      <c r="L76" s="182"/>
      <c r="M76" s="182">
        <f t="shared" si="0"/>
        <v>0</v>
      </c>
      <c r="N76" s="194">
        <f t="shared" si="1"/>
        <v>0</v>
      </c>
      <c r="O76" s="184"/>
      <c r="P76" s="183"/>
      <c r="Q76" s="184"/>
      <c r="R76" s="183"/>
      <c r="S76" s="185"/>
      <c r="T76" s="185"/>
      <c r="U76" s="186"/>
      <c r="V76" s="103"/>
      <c r="W76" s="103"/>
      <c r="X76" s="103"/>
    </row>
    <row r="77" spans="1:28" ht="237.2" customHeight="1" x14ac:dyDescent="0.25">
      <c r="A77" s="179">
        <v>56</v>
      </c>
      <c r="B77" s="180"/>
      <c r="C77" s="180"/>
      <c r="D77" s="198"/>
      <c r="E77" s="198"/>
      <c r="F77" s="180"/>
      <c r="G77" s="180"/>
      <c r="H77" s="180"/>
      <c r="I77" s="180"/>
      <c r="J77" s="180"/>
      <c r="K77" s="181"/>
      <c r="L77" s="182"/>
      <c r="M77" s="182">
        <f t="shared" si="0"/>
        <v>0</v>
      </c>
      <c r="N77" s="194">
        <f t="shared" si="1"/>
        <v>0</v>
      </c>
      <c r="O77" s="184"/>
      <c r="P77" s="183"/>
      <c r="Q77" s="184"/>
      <c r="R77" s="183"/>
      <c r="S77" s="185"/>
      <c r="T77" s="185"/>
      <c r="U77" s="186"/>
      <c r="V77" s="103"/>
      <c r="W77" s="103"/>
      <c r="X77" s="103"/>
    </row>
    <row r="78" spans="1:28" ht="237.2" customHeight="1" x14ac:dyDescent="0.25">
      <c r="A78" s="179">
        <v>57</v>
      </c>
      <c r="B78" s="180"/>
      <c r="C78" s="180"/>
      <c r="D78" s="198"/>
      <c r="E78" s="198"/>
      <c r="F78" s="180"/>
      <c r="G78" s="180"/>
      <c r="H78" s="180"/>
      <c r="I78" s="180"/>
      <c r="J78" s="180"/>
      <c r="K78" s="181"/>
      <c r="L78" s="182"/>
      <c r="M78" s="182">
        <f t="shared" si="0"/>
        <v>0</v>
      </c>
      <c r="N78" s="194">
        <f t="shared" si="1"/>
        <v>0</v>
      </c>
      <c r="O78" s="184"/>
      <c r="P78" s="183"/>
      <c r="Q78" s="184"/>
      <c r="R78" s="183"/>
      <c r="S78" s="185"/>
      <c r="T78" s="185"/>
      <c r="U78" s="186"/>
      <c r="V78" s="103"/>
      <c r="W78" s="103"/>
      <c r="X78" s="103"/>
    </row>
    <row r="79" spans="1:28" ht="237.2" customHeight="1" x14ac:dyDescent="0.25">
      <c r="A79" s="179">
        <v>58</v>
      </c>
      <c r="B79" s="180"/>
      <c r="C79" s="180"/>
      <c r="D79" s="198"/>
      <c r="E79" s="198"/>
      <c r="F79" s="180"/>
      <c r="G79" s="180"/>
      <c r="H79" s="180"/>
      <c r="I79" s="180"/>
      <c r="J79" s="180"/>
      <c r="K79" s="181"/>
      <c r="L79" s="182"/>
      <c r="M79" s="182">
        <f t="shared" si="0"/>
        <v>0</v>
      </c>
      <c r="N79" s="194">
        <f t="shared" si="1"/>
        <v>0</v>
      </c>
      <c r="O79" s="184"/>
      <c r="P79" s="183"/>
      <c r="Q79" s="184"/>
      <c r="R79" s="183"/>
      <c r="S79" s="185"/>
      <c r="T79" s="185"/>
      <c r="U79" s="186"/>
      <c r="V79" s="103"/>
      <c r="W79" s="103"/>
      <c r="X79" s="103"/>
    </row>
    <row r="80" spans="1:28" ht="237.2" customHeight="1" x14ac:dyDescent="0.25">
      <c r="A80" s="179">
        <v>59</v>
      </c>
      <c r="B80" s="180"/>
      <c r="C80" s="180"/>
      <c r="D80" s="198"/>
      <c r="E80" s="198"/>
      <c r="F80" s="180"/>
      <c r="G80" s="180"/>
      <c r="H80" s="180"/>
      <c r="I80" s="180"/>
      <c r="J80" s="180"/>
      <c r="K80" s="181"/>
      <c r="L80" s="182"/>
      <c r="M80" s="182">
        <f t="shared" si="0"/>
        <v>0</v>
      </c>
      <c r="N80" s="194">
        <f t="shared" si="1"/>
        <v>0</v>
      </c>
      <c r="O80" s="184"/>
      <c r="P80" s="183"/>
      <c r="Q80" s="184"/>
      <c r="R80" s="183"/>
      <c r="S80" s="185"/>
      <c r="T80" s="185"/>
      <c r="U80" s="186"/>
      <c r="V80" s="103"/>
      <c r="W80" s="103"/>
      <c r="X80" s="103"/>
    </row>
    <row r="81" spans="1:24" ht="237.2" customHeight="1" x14ac:dyDescent="0.25">
      <c r="A81" s="179">
        <v>60</v>
      </c>
      <c r="B81" s="180"/>
      <c r="C81" s="180"/>
      <c r="D81" s="198"/>
      <c r="E81" s="198"/>
      <c r="F81" s="180"/>
      <c r="G81" s="180"/>
      <c r="H81" s="180"/>
      <c r="I81" s="180"/>
      <c r="J81" s="180"/>
      <c r="K81" s="181"/>
      <c r="L81" s="182"/>
      <c r="M81" s="182">
        <f t="shared" si="0"/>
        <v>0</v>
      </c>
      <c r="N81" s="194">
        <f t="shared" si="1"/>
        <v>0</v>
      </c>
      <c r="O81" s="184"/>
      <c r="P81" s="183"/>
      <c r="Q81" s="184"/>
      <c r="R81" s="183"/>
      <c r="S81" s="185"/>
      <c r="T81" s="185"/>
      <c r="U81" s="186"/>
      <c r="V81" s="103"/>
      <c r="W81" s="103"/>
      <c r="X81" s="103"/>
    </row>
    <row r="82" spans="1:24" ht="237.2" customHeight="1" x14ac:dyDescent="0.25">
      <c r="A82" s="179">
        <v>61</v>
      </c>
      <c r="B82" s="180"/>
      <c r="C82" s="180"/>
      <c r="D82" s="198"/>
      <c r="E82" s="198"/>
      <c r="F82" s="180"/>
      <c r="G82" s="180"/>
      <c r="H82" s="180"/>
      <c r="I82" s="180"/>
      <c r="J82" s="180"/>
      <c r="K82" s="181"/>
      <c r="L82" s="182"/>
      <c r="M82" s="182">
        <f t="shared" si="0"/>
        <v>0</v>
      </c>
      <c r="N82" s="194">
        <f t="shared" si="1"/>
        <v>0</v>
      </c>
      <c r="O82" s="184"/>
      <c r="P82" s="183"/>
      <c r="Q82" s="184"/>
      <c r="R82" s="183"/>
      <c r="S82" s="185"/>
      <c r="T82" s="185"/>
      <c r="U82" s="186"/>
      <c r="V82" s="103"/>
      <c r="W82" s="103"/>
      <c r="X82" s="103"/>
    </row>
    <row r="83" spans="1:24" ht="237.2" customHeight="1" x14ac:dyDescent="0.25">
      <c r="A83" s="179">
        <v>62</v>
      </c>
      <c r="B83" s="180"/>
      <c r="C83" s="180"/>
      <c r="D83" s="198"/>
      <c r="E83" s="198"/>
      <c r="F83" s="180"/>
      <c r="G83" s="180"/>
      <c r="H83" s="180"/>
      <c r="I83" s="180"/>
      <c r="J83" s="180"/>
      <c r="K83" s="181"/>
      <c r="L83" s="182"/>
      <c r="M83" s="182">
        <f t="shared" si="0"/>
        <v>0</v>
      </c>
      <c r="N83" s="194">
        <f t="shared" si="1"/>
        <v>0</v>
      </c>
      <c r="O83" s="184"/>
      <c r="P83" s="183"/>
      <c r="Q83" s="184"/>
      <c r="R83" s="183"/>
      <c r="S83" s="185"/>
      <c r="T83" s="185"/>
      <c r="U83" s="186"/>
      <c r="V83" s="103"/>
      <c r="W83" s="103"/>
      <c r="X83" s="103"/>
    </row>
    <row r="84" spans="1:24" ht="237.2" customHeight="1" x14ac:dyDescent="0.25">
      <c r="A84" s="179">
        <v>63</v>
      </c>
      <c r="B84" s="180"/>
      <c r="C84" s="180"/>
      <c r="D84" s="198"/>
      <c r="E84" s="198"/>
      <c r="F84" s="180"/>
      <c r="G84" s="180"/>
      <c r="H84" s="180"/>
      <c r="I84" s="180"/>
      <c r="J84" s="180"/>
      <c r="K84" s="181"/>
      <c r="L84" s="182"/>
      <c r="M84" s="182">
        <f t="shared" si="0"/>
        <v>0</v>
      </c>
      <c r="N84" s="194">
        <f t="shared" si="1"/>
        <v>0</v>
      </c>
      <c r="O84" s="184"/>
      <c r="P84" s="183"/>
      <c r="Q84" s="184"/>
      <c r="R84" s="183"/>
      <c r="S84" s="185"/>
      <c r="T84" s="185"/>
      <c r="U84" s="186"/>
      <c r="V84" s="103"/>
      <c r="W84" s="103"/>
      <c r="X84" s="103"/>
    </row>
    <row r="85" spans="1:24" ht="237.2" customHeight="1" x14ac:dyDescent="0.25">
      <c r="A85" s="179">
        <v>64</v>
      </c>
      <c r="B85" s="180"/>
      <c r="C85" s="180"/>
      <c r="D85" s="198"/>
      <c r="E85" s="198"/>
      <c r="F85" s="180"/>
      <c r="G85" s="180"/>
      <c r="H85" s="180"/>
      <c r="I85" s="180"/>
      <c r="J85" s="180"/>
      <c r="K85" s="181"/>
      <c r="L85" s="182"/>
      <c r="M85" s="182">
        <f t="shared" si="0"/>
        <v>0</v>
      </c>
      <c r="N85" s="194">
        <f t="shared" si="1"/>
        <v>0</v>
      </c>
      <c r="O85" s="184"/>
      <c r="P85" s="183"/>
      <c r="Q85" s="184"/>
      <c r="R85" s="183"/>
      <c r="S85" s="185"/>
      <c r="T85" s="185"/>
      <c r="U85" s="186"/>
      <c r="V85" s="103"/>
      <c r="W85" s="103"/>
      <c r="X85" s="103"/>
    </row>
    <row r="86" spans="1:24" ht="237.2" customHeight="1" x14ac:dyDescent="0.25">
      <c r="A86" s="179">
        <v>65</v>
      </c>
      <c r="B86" s="180"/>
      <c r="C86" s="180"/>
      <c r="D86" s="198"/>
      <c r="E86" s="198"/>
      <c r="F86" s="180"/>
      <c r="G86" s="180"/>
      <c r="H86" s="180"/>
      <c r="I86" s="180"/>
      <c r="J86" s="180"/>
      <c r="K86" s="181"/>
      <c r="L86" s="182"/>
      <c r="M86" s="182">
        <f t="shared" ref="M86:M121" si="2">+L86+K86</f>
        <v>0</v>
      </c>
      <c r="N86" s="194">
        <f t="shared" si="1"/>
        <v>0</v>
      </c>
      <c r="O86" s="184"/>
      <c r="P86" s="183"/>
      <c r="Q86" s="184"/>
      <c r="R86" s="183"/>
      <c r="S86" s="185"/>
      <c r="T86" s="185"/>
      <c r="U86" s="186"/>
      <c r="V86" s="103"/>
      <c r="W86" s="103"/>
      <c r="X86" s="103"/>
    </row>
    <row r="87" spans="1:24" ht="237.2" customHeight="1" x14ac:dyDescent="0.25">
      <c r="A87" s="179">
        <v>66</v>
      </c>
      <c r="B87" s="180"/>
      <c r="C87" s="180"/>
      <c r="D87" s="198"/>
      <c r="E87" s="198"/>
      <c r="F87" s="180"/>
      <c r="G87" s="180"/>
      <c r="H87" s="180"/>
      <c r="I87" s="180"/>
      <c r="J87" s="180"/>
      <c r="K87" s="181"/>
      <c r="L87" s="182"/>
      <c r="M87" s="182">
        <f t="shared" si="2"/>
        <v>0</v>
      </c>
      <c r="N87" s="194">
        <f t="shared" ref="N87:N121" si="3">+M87*2.1</f>
        <v>0</v>
      </c>
      <c r="O87" s="184"/>
      <c r="P87" s="183"/>
      <c r="Q87" s="184"/>
      <c r="R87" s="183"/>
      <c r="S87" s="185"/>
      <c r="T87" s="185"/>
      <c r="U87" s="186"/>
      <c r="V87" s="103"/>
      <c r="W87" s="103"/>
      <c r="X87" s="103"/>
    </row>
    <row r="88" spans="1:24" ht="237.2" customHeight="1" x14ac:dyDescent="0.25">
      <c r="A88" s="179">
        <v>67</v>
      </c>
      <c r="B88" s="180"/>
      <c r="C88" s="180"/>
      <c r="D88" s="198"/>
      <c r="E88" s="198"/>
      <c r="F88" s="180"/>
      <c r="G88" s="180"/>
      <c r="H88" s="180"/>
      <c r="I88" s="180"/>
      <c r="J88" s="180"/>
      <c r="K88" s="181"/>
      <c r="L88" s="182"/>
      <c r="M88" s="182">
        <f t="shared" si="2"/>
        <v>0</v>
      </c>
      <c r="N88" s="194">
        <f t="shared" si="3"/>
        <v>0</v>
      </c>
      <c r="O88" s="184"/>
      <c r="P88" s="183"/>
      <c r="Q88" s="184"/>
      <c r="R88" s="183"/>
      <c r="S88" s="185"/>
      <c r="T88" s="185"/>
      <c r="U88" s="186"/>
      <c r="V88" s="103"/>
      <c r="W88" s="103"/>
      <c r="X88" s="103"/>
    </row>
    <row r="89" spans="1:24" ht="237.2" customHeight="1" x14ac:dyDescent="0.25">
      <c r="A89" s="179">
        <v>68</v>
      </c>
      <c r="B89" s="180"/>
      <c r="C89" s="180"/>
      <c r="D89" s="198"/>
      <c r="E89" s="198"/>
      <c r="F89" s="180"/>
      <c r="G89" s="180"/>
      <c r="H89" s="180"/>
      <c r="I89" s="180"/>
      <c r="J89" s="180"/>
      <c r="K89" s="181"/>
      <c r="L89" s="182"/>
      <c r="M89" s="182">
        <f t="shared" si="2"/>
        <v>0</v>
      </c>
      <c r="N89" s="194">
        <f t="shared" si="3"/>
        <v>0</v>
      </c>
      <c r="O89" s="184"/>
      <c r="P89" s="183"/>
      <c r="Q89" s="184"/>
      <c r="R89" s="183"/>
      <c r="S89" s="185"/>
      <c r="T89" s="185"/>
      <c r="U89" s="186"/>
      <c r="V89" s="103"/>
      <c r="W89" s="103"/>
      <c r="X89" s="103"/>
    </row>
    <row r="90" spans="1:24" ht="237.2" customHeight="1" x14ac:dyDescent="0.25">
      <c r="A90" s="179">
        <v>69</v>
      </c>
      <c r="B90" s="180"/>
      <c r="C90" s="180"/>
      <c r="D90" s="198"/>
      <c r="E90" s="198"/>
      <c r="F90" s="180"/>
      <c r="G90" s="180"/>
      <c r="H90" s="180"/>
      <c r="I90" s="180"/>
      <c r="J90" s="180"/>
      <c r="K90" s="181"/>
      <c r="L90" s="182"/>
      <c r="M90" s="182">
        <f t="shared" si="2"/>
        <v>0</v>
      </c>
      <c r="N90" s="194">
        <f t="shared" si="3"/>
        <v>0</v>
      </c>
      <c r="O90" s="184"/>
      <c r="P90" s="183"/>
      <c r="Q90" s="184"/>
      <c r="R90" s="183"/>
      <c r="S90" s="185"/>
      <c r="T90" s="185"/>
      <c r="U90" s="186"/>
      <c r="V90" s="103"/>
      <c r="W90" s="103"/>
      <c r="X90" s="103"/>
    </row>
    <row r="91" spans="1:24" ht="237.2" customHeight="1" x14ac:dyDescent="0.25">
      <c r="A91" s="179">
        <v>70</v>
      </c>
      <c r="B91" s="180"/>
      <c r="C91" s="180"/>
      <c r="D91" s="198"/>
      <c r="E91" s="198"/>
      <c r="F91" s="180"/>
      <c r="G91" s="180"/>
      <c r="H91" s="180"/>
      <c r="I91" s="180"/>
      <c r="J91" s="180"/>
      <c r="K91" s="181"/>
      <c r="L91" s="182"/>
      <c r="M91" s="182">
        <f t="shared" si="2"/>
        <v>0</v>
      </c>
      <c r="N91" s="194">
        <f t="shared" si="3"/>
        <v>0</v>
      </c>
      <c r="O91" s="184"/>
      <c r="P91" s="183"/>
      <c r="Q91" s="184"/>
      <c r="R91" s="183"/>
      <c r="S91" s="185"/>
      <c r="T91" s="185"/>
      <c r="U91" s="186"/>
      <c r="V91" s="103"/>
      <c r="W91" s="103"/>
      <c r="X91" s="103"/>
    </row>
    <row r="92" spans="1:24" ht="237.2" customHeight="1" x14ac:dyDescent="0.25">
      <c r="A92" s="179">
        <v>71</v>
      </c>
      <c r="B92" s="180"/>
      <c r="C92" s="180"/>
      <c r="D92" s="198"/>
      <c r="E92" s="198"/>
      <c r="F92" s="180"/>
      <c r="G92" s="180"/>
      <c r="H92" s="180"/>
      <c r="I92" s="180"/>
      <c r="J92" s="180"/>
      <c r="K92" s="181"/>
      <c r="L92" s="182"/>
      <c r="M92" s="182">
        <f t="shared" si="2"/>
        <v>0</v>
      </c>
      <c r="N92" s="194">
        <f t="shared" si="3"/>
        <v>0</v>
      </c>
      <c r="O92" s="184"/>
      <c r="P92" s="183"/>
      <c r="Q92" s="184"/>
      <c r="R92" s="183"/>
      <c r="S92" s="185"/>
      <c r="T92" s="185"/>
      <c r="U92" s="186"/>
      <c r="V92" s="103"/>
      <c r="W92" s="103"/>
      <c r="X92" s="103"/>
    </row>
    <row r="93" spans="1:24" ht="237.2" customHeight="1" x14ac:dyDescent="0.25">
      <c r="A93" s="179">
        <v>72</v>
      </c>
      <c r="B93" s="180"/>
      <c r="C93" s="180"/>
      <c r="D93" s="198"/>
      <c r="E93" s="198"/>
      <c r="F93" s="180"/>
      <c r="G93" s="180"/>
      <c r="H93" s="180"/>
      <c r="I93" s="180"/>
      <c r="J93" s="180"/>
      <c r="K93" s="181"/>
      <c r="L93" s="182"/>
      <c r="M93" s="182">
        <f t="shared" si="2"/>
        <v>0</v>
      </c>
      <c r="N93" s="194">
        <f t="shared" si="3"/>
        <v>0</v>
      </c>
      <c r="O93" s="184"/>
      <c r="P93" s="183"/>
      <c r="Q93" s="184"/>
      <c r="R93" s="183"/>
      <c r="S93" s="185"/>
      <c r="T93" s="185"/>
      <c r="U93" s="186"/>
      <c r="V93" s="103"/>
      <c r="W93" s="103"/>
      <c r="X93" s="103"/>
    </row>
    <row r="94" spans="1:24" ht="237.2" customHeight="1" x14ac:dyDescent="0.25">
      <c r="A94" s="179">
        <v>73</v>
      </c>
      <c r="B94" s="180"/>
      <c r="C94" s="180"/>
      <c r="D94" s="198"/>
      <c r="E94" s="198"/>
      <c r="F94" s="180"/>
      <c r="G94" s="180"/>
      <c r="H94" s="180"/>
      <c r="I94" s="180"/>
      <c r="J94" s="180"/>
      <c r="K94" s="181"/>
      <c r="L94" s="182"/>
      <c r="M94" s="182">
        <f t="shared" si="2"/>
        <v>0</v>
      </c>
      <c r="N94" s="194">
        <f t="shared" si="3"/>
        <v>0</v>
      </c>
      <c r="O94" s="184"/>
      <c r="P94" s="183"/>
      <c r="Q94" s="184"/>
      <c r="R94" s="183"/>
      <c r="S94" s="185"/>
      <c r="T94" s="185"/>
      <c r="U94" s="186"/>
      <c r="V94" s="103"/>
      <c r="W94" s="103"/>
      <c r="X94" s="103"/>
    </row>
    <row r="95" spans="1:24" ht="237.2" customHeight="1" x14ac:dyDescent="0.25">
      <c r="A95" s="179">
        <v>74</v>
      </c>
      <c r="B95" s="180"/>
      <c r="C95" s="180"/>
      <c r="D95" s="198"/>
      <c r="E95" s="198"/>
      <c r="F95" s="180"/>
      <c r="G95" s="180"/>
      <c r="H95" s="180"/>
      <c r="I95" s="180"/>
      <c r="J95" s="180"/>
      <c r="K95" s="181"/>
      <c r="L95" s="182"/>
      <c r="M95" s="182">
        <f t="shared" si="2"/>
        <v>0</v>
      </c>
      <c r="N95" s="194">
        <f t="shared" si="3"/>
        <v>0</v>
      </c>
      <c r="O95" s="184"/>
      <c r="P95" s="183"/>
      <c r="Q95" s="184"/>
      <c r="R95" s="183"/>
      <c r="S95" s="185"/>
      <c r="T95" s="185"/>
      <c r="U95" s="186"/>
      <c r="V95" s="103"/>
      <c r="W95" s="103"/>
      <c r="X95" s="103"/>
    </row>
    <row r="96" spans="1:24" ht="237.2" customHeight="1" x14ac:dyDescent="0.25">
      <c r="A96" s="179">
        <v>75</v>
      </c>
      <c r="B96" s="180"/>
      <c r="C96" s="180"/>
      <c r="D96" s="198"/>
      <c r="E96" s="198"/>
      <c r="F96" s="180"/>
      <c r="G96" s="180"/>
      <c r="H96" s="180"/>
      <c r="I96" s="180"/>
      <c r="J96" s="180"/>
      <c r="K96" s="181"/>
      <c r="L96" s="182"/>
      <c r="M96" s="182">
        <f t="shared" si="2"/>
        <v>0</v>
      </c>
      <c r="N96" s="194">
        <f t="shared" si="3"/>
        <v>0</v>
      </c>
      <c r="O96" s="184"/>
      <c r="P96" s="183"/>
      <c r="Q96" s="184"/>
      <c r="R96" s="183"/>
      <c r="S96" s="185"/>
      <c r="T96" s="185"/>
      <c r="U96" s="186"/>
      <c r="V96" s="103"/>
      <c r="W96" s="103"/>
      <c r="X96" s="103"/>
    </row>
    <row r="97" spans="1:24" ht="237.2" customHeight="1" x14ac:dyDescent="0.25">
      <c r="A97" s="179">
        <v>76</v>
      </c>
      <c r="B97" s="180"/>
      <c r="C97" s="180"/>
      <c r="D97" s="198"/>
      <c r="E97" s="198"/>
      <c r="F97" s="180"/>
      <c r="G97" s="180"/>
      <c r="H97" s="180"/>
      <c r="I97" s="180"/>
      <c r="J97" s="180"/>
      <c r="K97" s="181"/>
      <c r="L97" s="182"/>
      <c r="M97" s="182">
        <f t="shared" si="2"/>
        <v>0</v>
      </c>
      <c r="N97" s="194">
        <f t="shared" si="3"/>
        <v>0</v>
      </c>
      <c r="O97" s="184"/>
      <c r="P97" s="183"/>
      <c r="Q97" s="184"/>
      <c r="R97" s="183"/>
      <c r="S97" s="185"/>
      <c r="T97" s="185"/>
      <c r="U97" s="186"/>
      <c r="V97" s="103"/>
      <c r="W97" s="103"/>
      <c r="X97" s="103"/>
    </row>
    <row r="98" spans="1:24" ht="237.2" customHeight="1" x14ac:dyDescent="0.25">
      <c r="A98" s="179">
        <v>77</v>
      </c>
      <c r="B98" s="180"/>
      <c r="C98" s="180"/>
      <c r="D98" s="198"/>
      <c r="E98" s="198"/>
      <c r="F98" s="180"/>
      <c r="G98" s="180"/>
      <c r="H98" s="180"/>
      <c r="I98" s="180"/>
      <c r="J98" s="180"/>
      <c r="K98" s="181"/>
      <c r="L98" s="182"/>
      <c r="M98" s="182">
        <f t="shared" si="2"/>
        <v>0</v>
      </c>
      <c r="N98" s="194">
        <f t="shared" si="3"/>
        <v>0</v>
      </c>
      <c r="O98" s="184"/>
      <c r="P98" s="183"/>
      <c r="Q98" s="184"/>
      <c r="R98" s="183"/>
      <c r="S98" s="185"/>
      <c r="T98" s="185"/>
      <c r="U98" s="186"/>
      <c r="V98" s="103"/>
      <c r="W98" s="103"/>
      <c r="X98" s="103"/>
    </row>
    <row r="99" spans="1:24" ht="237.2" customHeight="1" x14ac:dyDescent="0.25">
      <c r="A99" s="179">
        <v>78</v>
      </c>
      <c r="B99" s="180"/>
      <c r="C99" s="180"/>
      <c r="D99" s="198"/>
      <c r="E99" s="198"/>
      <c r="F99" s="180"/>
      <c r="G99" s="180"/>
      <c r="H99" s="180"/>
      <c r="I99" s="180"/>
      <c r="J99" s="180"/>
      <c r="K99" s="181"/>
      <c r="L99" s="182"/>
      <c r="M99" s="182">
        <f t="shared" si="2"/>
        <v>0</v>
      </c>
      <c r="N99" s="194">
        <f t="shared" si="3"/>
        <v>0</v>
      </c>
      <c r="O99" s="184"/>
      <c r="P99" s="183"/>
      <c r="Q99" s="184"/>
      <c r="R99" s="183"/>
      <c r="S99" s="185"/>
      <c r="T99" s="185"/>
      <c r="U99" s="186"/>
      <c r="V99" s="103"/>
      <c r="W99" s="103"/>
      <c r="X99" s="103"/>
    </row>
    <row r="100" spans="1:24" ht="237.2" customHeight="1" x14ac:dyDescent="0.25">
      <c r="A100" s="179">
        <v>79</v>
      </c>
      <c r="B100" s="180"/>
      <c r="C100" s="180"/>
      <c r="D100" s="198"/>
      <c r="E100" s="198"/>
      <c r="F100" s="180"/>
      <c r="G100" s="180"/>
      <c r="H100" s="180"/>
      <c r="I100" s="180"/>
      <c r="J100" s="180"/>
      <c r="K100" s="181"/>
      <c r="L100" s="182"/>
      <c r="M100" s="182">
        <f t="shared" si="2"/>
        <v>0</v>
      </c>
      <c r="N100" s="194">
        <f t="shared" si="3"/>
        <v>0</v>
      </c>
      <c r="O100" s="184"/>
      <c r="P100" s="183"/>
      <c r="Q100" s="184"/>
      <c r="R100" s="183"/>
      <c r="S100" s="185"/>
      <c r="T100" s="185"/>
      <c r="U100" s="186"/>
      <c r="V100" s="103"/>
      <c r="W100" s="103"/>
      <c r="X100" s="103"/>
    </row>
    <row r="101" spans="1:24" ht="237.2" customHeight="1" x14ac:dyDescent="0.25">
      <c r="A101" s="179">
        <v>80</v>
      </c>
      <c r="B101" s="180"/>
      <c r="C101" s="180"/>
      <c r="D101" s="198"/>
      <c r="E101" s="198"/>
      <c r="F101" s="180"/>
      <c r="G101" s="180"/>
      <c r="H101" s="180"/>
      <c r="I101" s="180"/>
      <c r="J101" s="180"/>
      <c r="K101" s="181"/>
      <c r="L101" s="182"/>
      <c r="M101" s="182">
        <f t="shared" si="2"/>
        <v>0</v>
      </c>
      <c r="N101" s="194">
        <f t="shared" si="3"/>
        <v>0</v>
      </c>
      <c r="O101" s="184"/>
      <c r="P101" s="183"/>
      <c r="Q101" s="184"/>
      <c r="R101" s="183"/>
      <c r="S101" s="185"/>
      <c r="T101" s="185"/>
      <c r="U101" s="186"/>
      <c r="V101" s="103"/>
      <c r="W101" s="103"/>
      <c r="X101" s="103"/>
    </row>
    <row r="102" spans="1:24" ht="237.2" customHeight="1" x14ac:dyDescent="0.25">
      <c r="A102" s="179">
        <v>81</v>
      </c>
      <c r="B102" s="180"/>
      <c r="C102" s="180"/>
      <c r="D102" s="198"/>
      <c r="E102" s="198"/>
      <c r="F102" s="180"/>
      <c r="G102" s="180"/>
      <c r="H102" s="180"/>
      <c r="I102" s="180"/>
      <c r="J102" s="180"/>
      <c r="K102" s="181"/>
      <c r="L102" s="182"/>
      <c r="M102" s="182">
        <f t="shared" si="2"/>
        <v>0</v>
      </c>
      <c r="N102" s="194">
        <f t="shared" si="3"/>
        <v>0</v>
      </c>
      <c r="O102" s="184"/>
      <c r="P102" s="183"/>
      <c r="Q102" s="184"/>
      <c r="R102" s="183"/>
      <c r="S102" s="185"/>
      <c r="T102" s="185"/>
      <c r="U102" s="186"/>
      <c r="V102" s="103"/>
      <c r="W102" s="103"/>
      <c r="X102" s="103"/>
    </row>
    <row r="103" spans="1:24" ht="237.2" customHeight="1" x14ac:dyDescent="0.25">
      <c r="A103" s="179">
        <v>82</v>
      </c>
      <c r="B103" s="180"/>
      <c r="C103" s="180"/>
      <c r="D103" s="198"/>
      <c r="E103" s="198"/>
      <c r="F103" s="180"/>
      <c r="G103" s="180"/>
      <c r="H103" s="180"/>
      <c r="I103" s="180"/>
      <c r="J103" s="180"/>
      <c r="K103" s="181"/>
      <c r="L103" s="182"/>
      <c r="M103" s="182">
        <f t="shared" si="2"/>
        <v>0</v>
      </c>
      <c r="N103" s="194">
        <f t="shared" si="3"/>
        <v>0</v>
      </c>
      <c r="O103" s="184"/>
      <c r="P103" s="183"/>
      <c r="Q103" s="184"/>
      <c r="R103" s="183"/>
      <c r="S103" s="185"/>
      <c r="T103" s="185"/>
      <c r="U103" s="186"/>
      <c r="V103" s="103"/>
      <c r="W103" s="103"/>
      <c r="X103" s="103"/>
    </row>
    <row r="104" spans="1:24" ht="237.2" customHeight="1" x14ac:dyDescent="0.25">
      <c r="A104" s="179">
        <v>83</v>
      </c>
      <c r="B104" s="180"/>
      <c r="C104" s="180"/>
      <c r="D104" s="198"/>
      <c r="E104" s="198"/>
      <c r="F104" s="180"/>
      <c r="G104" s="180"/>
      <c r="H104" s="180"/>
      <c r="I104" s="180"/>
      <c r="J104" s="180"/>
      <c r="K104" s="181"/>
      <c r="L104" s="182"/>
      <c r="M104" s="182">
        <f t="shared" si="2"/>
        <v>0</v>
      </c>
      <c r="N104" s="194">
        <f t="shared" si="3"/>
        <v>0</v>
      </c>
      <c r="O104" s="184"/>
      <c r="P104" s="183"/>
      <c r="Q104" s="184"/>
      <c r="R104" s="183"/>
      <c r="S104" s="185"/>
      <c r="T104" s="185"/>
      <c r="U104" s="186"/>
      <c r="V104" s="103"/>
      <c r="W104" s="103"/>
      <c r="X104" s="103"/>
    </row>
    <row r="105" spans="1:24" ht="237.2" customHeight="1" x14ac:dyDescent="0.25">
      <c r="A105" s="179">
        <v>84</v>
      </c>
      <c r="B105" s="180"/>
      <c r="C105" s="180"/>
      <c r="D105" s="198"/>
      <c r="E105" s="198"/>
      <c r="F105" s="180"/>
      <c r="G105" s="180"/>
      <c r="H105" s="180"/>
      <c r="I105" s="180"/>
      <c r="J105" s="180"/>
      <c r="K105" s="181"/>
      <c r="L105" s="182"/>
      <c r="M105" s="182">
        <f t="shared" si="2"/>
        <v>0</v>
      </c>
      <c r="N105" s="194">
        <f t="shared" si="3"/>
        <v>0</v>
      </c>
      <c r="O105" s="184"/>
      <c r="P105" s="183"/>
      <c r="Q105" s="184"/>
      <c r="R105" s="183"/>
      <c r="S105" s="185"/>
      <c r="T105" s="185"/>
      <c r="U105" s="186"/>
      <c r="V105" s="103"/>
      <c r="W105" s="103"/>
      <c r="X105" s="103"/>
    </row>
    <row r="106" spans="1:24" ht="237.2" customHeight="1" x14ac:dyDescent="0.25">
      <c r="A106" s="179">
        <v>85</v>
      </c>
      <c r="B106" s="180"/>
      <c r="C106" s="180"/>
      <c r="D106" s="198"/>
      <c r="E106" s="198"/>
      <c r="F106" s="180"/>
      <c r="G106" s="180"/>
      <c r="H106" s="180"/>
      <c r="I106" s="180"/>
      <c r="J106" s="180"/>
      <c r="K106" s="181"/>
      <c r="L106" s="182"/>
      <c r="M106" s="182">
        <f t="shared" si="2"/>
        <v>0</v>
      </c>
      <c r="N106" s="194">
        <f t="shared" si="3"/>
        <v>0</v>
      </c>
      <c r="O106" s="184"/>
      <c r="P106" s="183"/>
      <c r="Q106" s="184"/>
      <c r="R106" s="183"/>
      <c r="S106" s="185"/>
      <c r="T106" s="185"/>
      <c r="U106" s="186"/>
      <c r="V106" s="103"/>
      <c r="W106" s="103"/>
      <c r="X106" s="103"/>
    </row>
    <row r="107" spans="1:24" ht="237.2" customHeight="1" x14ac:dyDescent="0.25">
      <c r="A107" s="179">
        <v>86</v>
      </c>
      <c r="B107" s="180"/>
      <c r="C107" s="180"/>
      <c r="D107" s="198"/>
      <c r="E107" s="198"/>
      <c r="F107" s="180"/>
      <c r="G107" s="180"/>
      <c r="H107" s="180"/>
      <c r="I107" s="180"/>
      <c r="J107" s="180"/>
      <c r="K107" s="181"/>
      <c r="L107" s="182"/>
      <c r="M107" s="182">
        <f t="shared" si="2"/>
        <v>0</v>
      </c>
      <c r="N107" s="194">
        <f t="shared" si="3"/>
        <v>0</v>
      </c>
      <c r="O107" s="184"/>
      <c r="P107" s="183"/>
      <c r="Q107" s="184"/>
      <c r="R107" s="183"/>
      <c r="S107" s="185"/>
      <c r="T107" s="185"/>
      <c r="U107" s="186"/>
      <c r="V107" s="103"/>
      <c r="W107" s="103"/>
      <c r="X107" s="103"/>
    </row>
    <row r="108" spans="1:24" ht="237.2" customHeight="1" x14ac:dyDescent="0.25">
      <c r="A108" s="179">
        <v>87</v>
      </c>
      <c r="B108" s="180"/>
      <c r="C108" s="180"/>
      <c r="D108" s="198"/>
      <c r="E108" s="198"/>
      <c r="F108" s="180"/>
      <c r="G108" s="180"/>
      <c r="H108" s="180"/>
      <c r="I108" s="180"/>
      <c r="J108" s="180"/>
      <c r="K108" s="181"/>
      <c r="L108" s="182"/>
      <c r="M108" s="182">
        <f t="shared" si="2"/>
        <v>0</v>
      </c>
      <c r="N108" s="194">
        <f t="shared" si="3"/>
        <v>0</v>
      </c>
      <c r="O108" s="184"/>
      <c r="P108" s="183"/>
      <c r="Q108" s="184"/>
      <c r="R108" s="183"/>
      <c r="S108" s="185"/>
      <c r="T108" s="185"/>
      <c r="U108" s="186"/>
      <c r="V108" s="103"/>
      <c r="W108" s="103"/>
      <c r="X108" s="103"/>
    </row>
    <row r="109" spans="1:24" ht="237.2" customHeight="1" x14ac:dyDescent="0.25">
      <c r="A109" s="179">
        <v>88</v>
      </c>
      <c r="B109" s="180"/>
      <c r="C109" s="180"/>
      <c r="D109" s="198"/>
      <c r="E109" s="198"/>
      <c r="F109" s="180"/>
      <c r="G109" s="180"/>
      <c r="H109" s="180"/>
      <c r="I109" s="180"/>
      <c r="J109" s="180"/>
      <c r="K109" s="181"/>
      <c r="L109" s="182"/>
      <c r="M109" s="182">
        <f t="shared" si="2"/>
        <v>0</v>
      </c>
      <c r="N109" s="194">
        <f t="shared" si="3"/>
        <v>0</v>
      </c>
      <c r="O109" s="184"/>
      <c r="P109" s="183"/>
      <c r="Q109" s="184"/>
      <c r="R109" s="183"/>
      <c r="S109" s="185"/>
      <c r="T109" s="185"/>
      <c r="U109" s="186"/>
      <c r="V109" s="103"/>
      <c r="W109" s="103"/>
      <c r="X109" s="103"/>
    </row>
    <row r="110" spans="1:24" ht="237.2" customHeight="1" x14ac:dyDescent="0.25">
      <c r="A110" s="179">
        <v>89</v>
      </c>
      <c r="B110" s="180"/>
      <c r="C110" s="180"/>
      <c r="D110" s="198"/>
      <c r="E110" s="198"/>
      <c r="F110" s="180"/>
      <c r="G110" s="180"/>
      <c r="H110" s="180"/>
      <c r="I110" s="180"/>
      <c r="J110" s="180"/>
      <c r="K110" s="181"/>
      <c r="L110" s="182"/>
      <c r="M110" s="182">
        <f t="shared" si="2"/>
        <v>0</v>
      </c>
      <c r="N110" s="194">
        <f t="shared" si="3"/>
        <v>0</v>
      </c>
      <c r="O110" s="184"/>
      <c r="P110" s="183"/>
      <c r="Q110" s="184"/>
      <c r="R110" s="183"/>
      <c r="S110" s="185"/>
      <c r="T110" s="185"/>
      <c r="U110" s="186"/>
      <c r="V110" s="103"/>
      <c r="W110" s="103"/>
      <c r="X110" s="103"/>
    </row>
    <row r="111" spans="1:24" ht="237.2" customHeight="1" x14ac:dyDescent="0.25">
      <c r="A111" s="179">
        <v>90</v>
      </c>
      <c r="B111" s="180"/>
      <c r="C111" s="180"/>
      <c r="D111" s="198"/>
      <c r="E111" s="198"/>
      <c r="F111" s="180"/>
      <c r="G111" s="180"/>
      <c r="H111" s="180"/>
      <c r="I111" s="180"/>
      <c r="J111" s="180"/>
      <c r="K111" s="181"/>
      <c r="L111" s="182"/>
      <c r="M111" s="182">
        <f t="shared" si="2"/>
        <v>0</v>
      </c>
      <c r="N111" s="194">
        <f t="shared" si="3"/>
        <v>0</v>
      </c>
      <c r="O111" s="184"/>
      <c r="P111" s="183"/>
      <c r="Q111" s="184"/>
      <c r="R111" s="183"/>
      <c r="S111" s="185"/>
      <c r="T111" s="185"/>
      <c r="U111" s="186"/>
      <c r="V111" s="103"/>
      <c r="W111" s="103"/>
      <c r="X111" s="103"/>
    </row>
    <row r="112" spans="1:24" ht="237.2" customHeight="1" x14ac:dyDescent="0.25">
      <c r="A112" s="179">
        <v>91</v>
      </c>
      <c r="B112" s="180"/>
      <c r="C112" s="180"/>
      <c r="D112" s="198"/>
      <c r="E112" s="198"/>
      <c r="F112" s="180"/>
      <c r="G112" s="180"/>
      <c r="H112" s="180"/>
      <c r="I112" s="180"/>
      <c r="J112" s="180"/>
      <c r="K112" s="181"/>
      <c r="L112" s="182"/>
      <c r="M112" s="182">
        <f t="shared" si="2"/>
        <v>0</v>
      </c>
      <c r="N112" s="194">
        <f t="shared" si="3"/>
        <v>0</v>
      </c>
      <c r="O112" s="184"/>
      <c r="P112" s="183"/>
      <c r="Q112" s="184"/>
      <c r="R112" s="183"/>
      <c r="S112" s="185"/>
      <c r="T112" s="185"/>
      <c r="U112" s="186"/>
      <c r="V112" s="103"/>
      <c r="W112" s="103"/>
      <c r="X112" s="103"/>
    </row>
    <row r="113" spans="1:24" ht="237.2" customHeight="1" x14ac:dyDescent="0.25">
      <c r="A113" s="179">
        <v>92</v>
      </c>
      <c r="B113" s="180"/>
      <c r="C113" s="180"/>
      <c r="D113" s="198"/>
      <c r="E113" s="198"/>
      <c r="F113" s="180"/>
      <c r="G113" s="180"/>
      <c r="H113" s="180"/>
      <c r="I113" s="180"/>
      <c r="J113" s="180"/>
      <c r="K113" s="181"/>
      <c r="L113" s="182"/>
      <c r="M113" s="182">
        <f t="shared" si="2"/>
        <v>0</v>
      </c>
      <c r="N113" s="194">
        <f t="shared" si="3"/>
        <v>0</v>
      </c>
      <c r="O113" s="184"/>
      <c r="P113" s="183"/>
      <c r="Q113" s="184"/>
      <c r="R113" s="183"/>
      <c r="S113" s="185"/>
      <c r="T113" s="185"/>
      <c r="U113" s="186"/>
      <c r="V113" s="103"/>
      <c r="W113" s="103"/>
      <c r="X113" s="103"/>
    </row>
    <row r="114" spans="1:24" ht="237.2" customHeight="1" x14ac:dyDescent="0.25">
      <c r="A114" s="179">
        <v>93</v>
      </c>
      <c r="B114" s="180"/>
      <c r="C114" s="180"/>
      <c r="D114" s="198"/>
      <c r="E114" s="198"/>
      <c r="F114" s="180"/>
      <c r="G114" s="180"/>
      <c r="H114" s="180"/>
      <c r="I114" s="180"/>
      <c r="J114" s="180"/>
      <c r="K114" s="181"/>
      <c r="L114" s="182"/>
      <c r="M114" s="182">
        <f t="shared" si="2"/>
        <v>0</v>
      </c>
      <c r="N114" s="194">
        <f t="shared" si="3"/>
        <v>0</v>
      </c>
      <c r="O114" s="184"/>
      <c r="P114" s="183"/>
      <c r="Q114" s="184"/>
      <c r="R114" s="183"/>
      <c r="S114" s="185"/>
      <c r="T114" s="185"/>
      <c r="U114" s="186"/>
      <c r="V114" s="103"/>
      <c r="W114" s="103"/>
      <c r="X114" s="103"/>
    </row>
    <row r="115" spans="1:24" ht="237.2" customHeight="1" x14ac:dyDescent="0.25">
      <c r="A115" s="179">
        <v>94</v>
      </c>
      <c r="B115" s="180"/>
      <c r="C115" s="180"/>
      <c r="D115" s="198"/>
      <c r="E115" s="198"/>
      <c r="F115" s="180"/>
      <c r="G115" s="180"/>
      <c r="H115" s="180"/>
      <c r="I115" s="180"/>
      <c r="J115" s="180"/>
      <c r="K115" s="181"/>
      <c r="L115" s="182"/>
      <c r="M115" s="182">
        <f t="shared" si="2"/>
        <v>0</v>
      </c>
      <c r="N115" s="194">
        <f t="shared" si="3"/>
        <v>0</v>
      </c>
      <c r="O115" s="184"/>
      <c r="P115" s="183"/>
      <c r="Q115" s="184"/>
      <c r="R115" s="183"/>
      <c r="S115" s="185"/>
      <c r="T115" s="185"/>
      <c r="U115" s="186"/>
      <c r="V115" s="103"/>
      <c r="W115" s="103"/>
      <c r="X115" s="103"/>
    </row>
    <row r="116" spans="1:24" ht="237.2" customHeight="1" x14ac:dyDescent="0.25">
      <c r="A116" s="179">
        <v>95</v>
      </c>
      <c r="B116" s="180"/>
      <c r="C116" s="180"/>
      <c r="D116" s="198"/>
      <c r="E116" s="198"/>
      <c r="F116" s="180"/>
      <c r="G116" s="180"/>
      <c r="H116" s="180"/>
      <c r="I116" s="180"/>
      <c r="J116" s="180"/>
      <c r="K116" s="181"/>
      <c r="L116" s="182"/>
      <c r="M116" s="182">
        <f t="shared" si="2"/>
        <v>0</v>
      </c>
      <c r="N116" s="194">
        <f t="shared" si="3"/>
        <v>0</v>
      </c>
      <c r="O116" s="184"/>
      <c r="P116" s="183"/>
      <c r="Q116" s="184"/>
      <c r="R116" s="183"/>
      <c r="S116" s="185"/>
      <c r="T116" s="185"/>
      <c r="U116" s="186"/>
      <c r="V116" s="103"/>
      <c r="W116" s="103"/>
      <c r="X116" s="103"/>
    </row>
    <row r="117" spans="1:24" ht="237.2" customHeight="1" x14ac:dyDescent="0.25">
      <c r="A117" s="179">
        <v>96</v>
      </c>
      <c r="B117" s="180"/>
      <c r="C117" s="180"/>
      <c r="D117" s="198"/>
      <c r="E117" s="198"/>
      <c r="F117" s="180"/>
      <c r="G117" s="180"/>
      <c r="H117" s="180"/>
      <c r="I117" s="180"/>
      <c r="J117" s="180"/>
      <c r="K117" s="181"/>
      <c r="L117" s="182"/>
      <c r="M117" s="182">
        <f t="shared" si="2"/>
        <v>0</v>
      </c>
      <c r="N117" s="194">
        <f t="shared" si="3"/>
        <v>0</v>
      </c>
      <c r="O117" s="184"/>
      <c r="P117" s="183"/>
      <c r="Q117" s="184"/>
      <c r="R117" s="183"/>
      <c r="S117" s="185"/>
      <c r="T117" s="185"/>
      <c r="U117" s="186"/>
      <c r="V117" s="103"/>
      <c r="W117" s="103"/>
      <c r="X117" s="103"/>
    </row>
    <row r="118" spans="1:24" ht="237.2" customHeight="1" x14ac:dyDescent="0.25">
      <c r="A118" s="179">
        <v>97</v>
      </c>
      <c r="B118" s="180"/>
      <c r="C118" s="180"/>
      <c r="D118" s="198"/>
      <c r="E118" s="198"/>
      <c r="F118" s="180"/>
      <c r="G118" s="180"/>
      <c r="H118" s="180"/>
      <c r="I118" s="180"/>
      <c r="J118" s="180"/>
      <c r="K118" s="181"/>
      <c r="L118" s="182"/>
      <c r="M118" s="182">
        <f t="shared" si="2"/>
        <v>0</v>
      </c>
      <c r="N118" s="194">
        <f t="shared" si="3"/>
        <v>0</v>
      </c>
      <c r="O118" s="184"/>
      <c r="P118" s="183"/>
      <c r="Q118" s="184"/>
      <c r="R118" s="183"/>
      <c r="S118" s="185"/>
      <c r="T118" s="185"/>
      <c r="U118" s="186"/>
      <c r="V118" s="103"/>
      <c r="W118" s="103"/>
      <c r="X118" s="103"/>
    </row>
    <row r="119" spans="1:24" ht="237.2" customHeight="1" x14ac:dyDescent="0.25">
      <c r="A119" s="179">
        <v>98</v>
      </c>
      <c r="B119" s="180"/>
      <c r="C119" s="180"/>
      <c r="D119" s="198"/>
      <c r="E119" s="198"/>
      <c r="F119" s="180"/>
      <c r="G119" s="180"/>
      <c r="H119" s="180"/>
      <c r="I119" s="180"/>
      <c r="J119" s="180"/>
      <c r="K119" s="181"/>
      <c r="L119" s="182"/>
      <c r="M119" s="182">
        <f t="shared" si="2"/>
        <v>0</v>
      </c>
      <c r="N119" s="194">
        <f t="shared" si="3"/>
        <v>0</v>
      </c>
      <c r="O119" s="184"/>
      <c r="P119" s="183"/>
      <c r="Q119" s="184"/>
      <c r="R119" s="183"/>
      <c r="S119" s="185"/>
      <c r="T119" s="185"/>
      <c r="U119" s="186"/>
      <c r="V119" s="103"/>
      <c r="W119" s="103"/>
      <c r="X119" s="103"/>
    </row>
    <row r="120" spans="1:24" ht="237.2" customHeight="1" x14ac:dyDescent="0.25">
      <c r="A120" s="179">
        <v>99</v>
      </c>
      <c r="B120" s="180"/>
      <c r="C120" s="180"/>
      <c r="D120" s="198"/>
      <c r="E120" s="198"/>
      <c r="F120" s="180"/>
      <c r="G120" s="180"/>
      <c r="H120" s="180"/>
      <c r="I120" s="180"/>
      <c r="J120" s="180"/>
      <c r="K120" s="181"/>
      <c r="L120" s="182"/>
      <c r="M120" s="182">
        <f t="shared" si="2"/>
        <v>0</v>
      </c>
      <c r="N120" s="194">
        <f t="shared" si="3"/>
        <v>0</v>
      </c>
      <c r="O120" s="184"/>
      <c r="P120" s="183"/>
      <c r="Q120" s="184"/>
      <c r="R120" s="183"/>
      <c r="S120" s="185"/>
      <c r="T120" s="185"/>
      <c r="U120" s="186"/>
      <c r="V120" s="103"/>
      <c r="W120" s="103"/>
      <c r="X120" s="103"/>
    </row>
    <row r="121" spans="1:24" ht="237.2" customHeight="1" x14ac:dyDescent="0.25">
      <c r="A121" s="180">
        <v>100</v>
      </c>
      <c r="B121" s="180"/>
      <c r="C121" s="180"/>
      <c r="D121" s="198"/>
      <c r="E121" s="198"/>
      <c r="F121" s="180"/>
      <c r="G121" s="180"/>
      <c r="H121" s="180"/>
      <c r="I121" s="180"/>
      <c r="J121" s="180"/>
      <c r="K121" s="181"/>
      <c r="L121" s="182"/>
      <c r="M121" s="182">
        <f t="shared" si="2"/>
        <v>0</v>
      </c>
      <c r="N121" s="194">
        <f t="shared" si="3"/>
        <v>0</v>
      </c>
      <c r="O121" s="184"/>
      <c r="P121" s="183"/>
      <c r="Q121" s="184"/>
      <c r="R121" s="183"/>
      <c r="S121" s="185"/>
      <c r="T121" s="185"/>
      <c r="U121" s="186"/>
      <c r="V121" s="103"/>
      <c r="W121" s="103"/>
      <c r="X121" s="103"/>
    </row>
    <row r="122" spans="1:24" ht="54" customHeight="1" x14ac:dyDescent="0.25">
      <c r="A122" s="250" t="s">
        <v>124</v>
      </c>
      <c r="B122" s="250"/>
      <c r="C122" s="251"/>
      <c r="D122" s="251"/>
      <c r="E122" s="251"/>
      <c r="F122" s="251"/>
      <c r="G122" s="251"/>
      <c r="H122" s="251"/>
      <c r="I122" s="251"/>
      <c r="J122" s="251"/>
      <c r="K122" s="184"/>
      <c r="L122" s="184"/>
      <c r="M122" s="184">
        <f>SUM(M22:M121)</f>
        <v>0</v>
      </c>
      <c r="N122" s="194">
        <f>SUM(N22:N121)</f>
        <v>0</v>
      </c>
      <c r="O122" s="196"/>
      <c r="P122" s="196"/>
      <c r="Q122" s="196"/>
      <c r="R122" s="196"/>
      <c r="S122" s="196"/>
      <c r="T122" s="196"/>
      <c r="U122" s="197" t="s">
        <v>1</v>
      </c>
      <c r="V122" s="103"/>
      <c r="W122" s="103"/>
      <c r="X122" s="103"/>
    </row>
    <row r="123" spans="1:24" ht="54" customHeight="1" x14ac:dyDescent="0.25">
      <c r="A123" s="250" t="s">
        <v>124</v>
      </c>
      <c r="B123" s="250"/>
      <c r="C123" s="251"/>
      <c r="D123" s="251"/>
      <c r="E123" s="251"/>
      <c r="F123" s="251"/>
      <c r="G123" s="251"/>
      <c r="H123" s="251"/>
      <c r="I123" s="251"/>
      <c r="J123" s="251"/>
      <c r="K123" s="181"/>
      <c r="L123" s="181"/>
      <c r="M123" s="184"/>
      <c r="N123" s="194">
        <f>SUM(N22:N121)</f>
        <v>0</v>
      </c>
      <c r="O123" s="196"/>
      <c r="P123" s="196"/>
      <c r="Q123" s="196"/>
      <c r="R123" s="196"/>
      <c r="S123" s="196"/>
      <c r="T123" s="196"/>
      <c r="U123" s="197" t="s">
        <v>1</v>
      </c>
      <c r="V123" s="103"/>
      <c r="W123" s="103"/>
      <c r="X123" s="103"/>
    </row>
    <row r="124" spans="1:24" ht="54" customHeight="1" x14ac:dyDescent="0.25">
      <c r="A124" s="250" t="s">
        <v>124</v>
      </c>
      <c r="B124" s="250"/>
      <c r="C124" s="251"/>
      <c r="D124" s="251"/>
      <c r="E124" s="251"/>
      <c r="F124" s="251"/>
      <c r="G124" s="251"/>
      <c r="H124" s="251"/>
      <c r="I124" s="251"/>
      <c r="J124" s="251"/>
      <c r="K124" s="181"/>
      <c r="L124" s="181"/>
      <c r="M124" s="181"/>
      <c r="N124" s="194">
        <f>SUM(N22:N121)</f>
        <v>0</v>
      </c>
      <c r="O124" s="196"/>
      <c r="P124" s="196"/>
      <c r="Q124" s="196"/>
      <c r="R124" s="196"/>
      <c r="S124" s="196"/>
      <c r="T124" s="196"/>
      <c r="U124" s="197" t="s">
        <v>1</v>
      </c>
      <c r="V124" s="103"/>
      <c r="W124" s="103"/>
      <c r="X124" s="103"/>
    </row>
    <row r="125" spans="1:24" ht="54" customHeight="1" x14ac:dyDescent="0.25">
      <c r="A125" s="250" t="s">
        <v>124</v>
      </c>
      <c r="B125" s="250"/>
      <c r="C125" s="251"/>
      <c r="D125" s="251"/>
      <c r="E125" s="251"/>
      <c r="F125" s="251"/>
      <c r="G125" s="251"/>
      <c r="H125" s="251"/>
      <c r="I125" s="251"/>
      <c r="J125" s="251"/>
      <c r="K125" s="181"/>
      <c r="L125" s="181"/>
      <c r="M125" s="181"/>
      <c r="N125" s="194">
        <f>SUM(N22:N121)</f>
        <v>0</v>
      </c>
      <c r="O125" s="196"/>
      <c r="P125" s="196"/>
      <c r="Q125" s="196"/>
      <c r="R125" s="196"/>
      <c r="S125" s="196"/>
      <c r="T125" s="196"/>
      <c r="U125" s="197" t="s">
        <v>1</v>
      </c>
      <c r="V125" s="103"/>
      <c r="W125" s="103"/>
      <c r="X125" s="103"/>
    </row>
    <row r="126" spans="1:24" ht="54" customHeight="1" x14ac:dyDescent="0.25">
      <c r="A126" s="250" t="s">
        <v>124</v>
      </c>
      <c r="B126" s="250"/>
      <c r="C126" s="251"/>
      <c r="D126" s="251"/>
      <c r="E126" s="251"/>
      <c r="F126" s="251"/>
      <c r="G126" s="251"/>
      <c r="H126" s="251"/>
      <c r="I126" s="251"/>
      <c r="J126" s="251"/>
      <c r="K126" s="181"/>
      <c r="L126" s="181"/>
      <c r="M126" s="181"/>
      <c r="N126" s="194">
        <f>SUM(N22:N121)</f>
        <v>0</v>
      </c>
      <c r="O126" s="196"/>
      <c r="P126" s="196"/>
      <c r="Q126" s="196"/>
      <c r="R126" s="196"/>
      <c r="S126" s="196"/>
      <c r="T126" s="196"/>
      <c r="U126" s="197" t="s">
        <v>1</v>
      </c>
      <c r="V126" s="103"/>
      <c r="W126" s="103"/>
      <c r="X126" s="103"/>
    </row>
    <row r="127" spans="1:24" ht="54" customHeight="1" x14ac:dyDescent="0.25">
      <c r="A127" s="250" t="s">
        <v>13</v>
      </c>
      <c r="B127" s="250"/>
      <c r="C127" s="251"/>
      <c r="D127" s="251"/>
      <c r="E127" s="251"/>
      <c r="F127" s="251"/>
      <c r="G127" s="251"/>
      <c r="H127" s="251"/>
      <c r="I127" s="251"/>
      <c r="J127" s="251"/>
      <c r="K127" s="192"/>
      <c r="L127" s="192"/>
      <c r="M127" s="192"/>
      <c r="N127" s="194">
        <f t="shared" ref="N127" si="4">+N125-N126</f>
        <v>0</v>
      </c>
      <c r="O127" s="196"/>
      <c r="P127" s="196"/>
      <c r="Q127" s="196"/>
      <c r="R127" s="196"/>
      <c r="S127" s="196"/>
      <c r="T127" s="196"/>
      <c r="U127" s="197" t="s">
        <v>1</v>
      </c>
      <c r="V127" s="103"/>
      <c r="W127" s="103"/>
      <c r="X127" s="103"/>
    </row>
    <row r="128" spans="1:24" ht="54" customHeight="1" x14ac:dyDescent="0.25">
      <c r="A128" s="250" t="s">
        <v>184</v>
      </c>
      <c r="B128" s="250"/>
      <c r="C128" s="251"/>
      <c r="D128" s="251"/>
      <c r="E128" s="251"/>
      <c r="F128" s="251"/>
      <c r="G128" s="251"/>
      <c r="H128" s="251"/>
      <c r="I128" s="251"/>
      <c r="J128" s="251"/>
      <c r="K128" s="192"/>
      <c r="L128" s="192"/>
      <c r="M128" s="192"/>
      <c r="N128" s="194">
        <f>+N127+N122</f>
        <v>0</v>
      </c>
      <c r="O128" s="196"/>
      <c r="P128" s="196"/>
      <c r="Q128" s="196"/>
      <c r="R128" s="196"/>
      <c r="S128" s="196"/>
      <c r="T128" s="196"/>
      <c r="U128" s="197" t="s">
        <v>1</v>
      </c>
      <c r="V128" s="103"/>
      <c r="W128" s="103"/>
      <c r="X128" s="103"/>
    </row>
    <row r="129" spans="1:21" ht="29.25" thickBot="1" x14ac:dyDescent="0.3">
      <c r="A129" s="43"/>
      <c r="B129" s="43"/>
      <c r="C129" s="42"/>
      <c r="D129" s="43"/>
      <c r="E129" s="43"/>
      <c r="F129" s="42"/>
      <c r="G129" s="42"/>
      <c r="H129" s="42"/>
      <c r="I129" s="42"/>
      <c r="J129" s="42"/>
      <c r="K129" s="42"/>
      <c r="L129" s="42"/>
      <c r="M129" s="42"/>
      <c r="N129" s="74"/>
      <c r="O129" s="42"/>
      <c r="P129" s="42"/>
      <c r="Q129" s="42"/>
      <c r="R129" s="42"/>
      <c r="S129" s="42"/>
      <c r="T129" s="42"/>
      <c r="U129" s="169"/>
    </row>
    <row r="130" spans="1:21" ht="45" hidden="1" customHeight="1" thickBot="1" x14ac:dyDescent="0.3">
      <c r="A130" s="310" t="s">
        <v>167</v>
      </c>
      <c r="B130" s="311"/>
      <c r="C130" s="311"/>
      <c r="D130" s="311"/>
      <c r="E130" s="311"/>
      <c r="F130" s="311"/>
      <c r="G130" s="311"/>
      <c r="H130" s="311"/>
      <c r="I130" s="311"/>
      <c r="J130" s="311"/>
      <c r="K130" s="311"/>
      <c r="L130" s="311"/>
      <c r="M130" s="311"/>
      <c r="N130" s="311"/>
      <c r="O130" s="311"/>
      <c r="P130" s="311"/>
      <c r="Q130" s="311"/>
      <c r="R130" s="311"/>
      <c r="S130" s="311"/>
      <c r="T130" s="311"/>
      <c r="U130" s="312"/>
    </row>
    <row r="131" spans="1:21" s="178" customFormat="1" ht="165.2" customHeight="1" thickBot="1" x14ac:dyDescent="0.3">
      <c r="A131" s="313" t="s">
        <v>185</v>
      </c>
      <c r="B131" s="314"/>
      <c r="C131" s="314"/>
      <c r="D131" s="314"/>
      <c r="E131" s="314"/>
      <c r="F131" s="314"/>
      <c r="G131" s="314"/>
      <c r="H131" s="314"/>
      <c r="I131" s="314"/>
      <c r="J131" s="314"/>
      <c r="K131" s="314"/>
      <c r="L131" s="314"/>
      <c r="M131" s="314"/>
      <c r="N131" s="314"/>
      <c r="O131" s="314"/>
      <c r="P131" s="314"/>
      <c r="Q131" s="314"/>
      <c r="R131" s="314"/>
      <c r="S131" s="314"/>
      <c r="T131" s="314"/>
      <c r="U131" s="315"/>
    </row>
    <row r="132" spans="1:21" s="178" customFormat="1" ht="94.35" hidden="1" customHeight="1" thickBot="1" x14ac:dyDescent="0.3">
      <c r="A132" s="363" t="s">
        <v>173</v>
      </c>
      <c r="B132" s="364"/>
      <c r="C132" s="364"/>
      <c r="D132" s="364"/>
      <c r="E132" s="364"/>
      <c r="F132" s="364"/>
      <c r="G132" s="364"/>
      <c r="H132" s="364"/>
      <c r="I132" s="364"/>
      <c r="J132" s="364"/>
      <c r="K132" s="364"/>
      <c r="L132" s="364"/>
      <c r="M132" s="364"/>
      <c r="N132" s="364"/>
      <c r="O132" s="364"/>
      <c r="P132" s="364"/>
      <c r="Q132" s="364"/>
      <c r="R132" s="364"/>
      <c r="S132" s="364"/>
      <c r="T132" s="364"/>
      <c r="U132" s="365"/>
    </row>
    <row r="133" spans="1:21" s="178" customFormat="1" ht="94.35" hidden="1" customHeight="1" thickBot="1" x14ac:dyDescent="0.3">
      <c r="A133" s="363" t="s">
        <v>173</v>
      </c>
      <c r="B133" s="364"/>
      <c r="C133" s="364"/>
      <c r="D133" s="364"/>
      <c r="E133" s="364"/>
      <c r="F133" s="364"/>
      <c r="G133" s="364"/>
      <c r="H133" s="364"/>
      <c r="I133" s="364"/>
      <c r="J133" s="364"/>
      <c r="K133" s="364"/>
      <c r="L133" s="364"/>
      <c r="M133" s="364"/>
      <c r="N133" s="364"/>
      <c r="O133" s="364"/>
      <c r="P133" s="364"/>
      <c r="Q133" s="364"/>
      <c r="R133" s="364"/>
      <c r="S133" s="364"/>
      <c r="T133" s="364"/>
      <c r="U133" s="365"/>
    </row>
    <row r="134" spans="1:21" ht="23.25" x14ac:dyDescent="0.25">
      <c r="A134" s="8"/>
      <c r="B134" s="8"/>
      <c r="C134" s="6"/>
      <c r="D134" s="8"/>
      <c r="E134" s="8"/>
      <c r="F134" s="6"/>
      <c r="G134" s="6"/>
      <c r="H134" s="6"/>
      <c r="I134" s="6"/>
      <c r="J134" s="6"/>
      <c r="K134" s="6"/>
      <c r="L134" s="6"/>
      <c r="M134" s="6"/>
      <c r="N134" s="67"/>
      <c r="O134" s="67"/>
      <c r="P134" s="6"/>
      <c r="Q134" s="6"/>
      <c r="R134" s="6"/>
      <c r="S134" s="6"/>
      <c r="T134" s="6"/>
      <c r="U134" s="7"/>
    </row>
    <row r="135" spans="1:21" ht="23.25" x14ac:dyDescent="0.25">
      <c r="A135" s="8"/>
      <c r="B135" s="8"/>
      <c r="C135" s="6"/>
      <c r="D135" s="8"/>
      <c r="E135" s="8"/>
      <c r="F135" s="6"/>
      <c r="G135" s="6"/>
      <c r="H135" s="6"/>
      <c r="I135" s="6"/>
      <c r="J135" s="6"/>
      <c r="K135" s="6"/>
      <c r="L135" s="6"/>
      <c r="M135" s="6"/>
      <c r="N135" s="67"/>
      <c r="O135" s="67"/>
      <c r="P135" s="6"/>
      <c r="Q135" s="6"/>
      <c r="R135" s="6"/>
      <c r="S135" s="6"/>
      <c r="T135" s="6"/>
      <c r="U135" s="7"/>
    </row>
    <row r="136" spans="1:21" ht="23.25" x14ac:dyDescent="0.25">
      <c r="A136" s="8"/>
      <c r="B136" s="8"/>
      <c r="C136" s="6"/>
      <c r="D136" s="8"/>
      <c r="E136" s="8"/>
      <c r="F136" s="6"/>
      <c r="G136" s="6"/>
      <c r="H136" s="6"/>
      <c r="I136" s="6"/>
      <c r="J136" s="6"/>
      <c r="K136" s="6"/>
      <c r="L136" s="6"/>
      <c r="M136" s="6"/>
      <c r="N136" s="67"/>
      <c r="O136" s="67"/>
      <c r="P136" s="6"/>
      <c r="Q136" s="6"/>
      <c r="R136" s="6"/>
      <c r="S136" s="6"/>
      <c r="T136" s="6"/>
      <c r="U136" s="7"/>
    </row>
    <row r="137" spans="1:21" ht="23.25" x14ac:dyDescent="0.25">
      <c r="A137" s="8"/>
      <c r="B137" s="8"/>
      <c r="C137" s="6"/>
      <c r="D137" s="8"/>
      <c r="E137" s="8"/>
      <c r="F137" s="6"/>
      <c r="G137" s="6"/>
      <c r="H137" s="6"/>
      <c r="I137" s="6"/>
      <c r="J137" s="6"/>
      <c r="K137" s="6"/>
      <c r="L137" s="6"/>
      <c r="M137" s="6"/>
      <c r="N137" s="67"/>
      <c r="O137" s="67"/>
      <c r="P137" s="6"/>
      <c r="Q137" s="6"/>
      <c r="R137" s="6"/>
      <c r="S137" s="6"/>
      <c r="T137" s="6"/>
      <c r="U137" s="7"/>
    </row>
    <row r="138" spans="1:21" ht="24" thickBot="1" x14ac:dyDescent="0.3">
      <c r="A138" s="8"/>
      <c r="B138" s="8"/>
      <c r="C138" s="6"/>
      <c r="D138" s="8"/>
      <c r="E138" s="8"/>
      <c r="F138" s="6"/>
      <c r="G138" s="6"/>
      <c r="H138" s="6"/>
      <c r="I138" s="6"/>
      <c r="J138" s="6"/>
      <c r="K138" s="6"/>
      <c r="L138" s="6"/>
      <c r="M138" s="6"/>
      <c r="N138" s="67"/>
      <c r="O138" s="67"/>
      <c r="P138" s="6"/>
      <c r="Q138" s="6"/>
      <c r="R138" s="6"/>
      <c r="S138" s="6"/>
      <c r="T138" s="6"/>
      <c r="U138" s="7"/>
    </row>
    <row r="139" spans="1:21" ht="51" customHeight="1" thickBot="1" x14ac:dyDescent="0.3">
      <c r="A139" s="313" t="s">
        <v>59</v>
      </c>
      <c r="B139" s="399"/>
      <c r="C139" s="399"/>
      <c r="D139" s="399"/>
      <c r="E139" s="399"/>
      <c r="F139" s="399"/>
      <c r="G139" s="399"/>
      <c r="H139" s="399"/>
      <c r="I139" s="399"/>
      <c r="J139" s="399"/>
      <c r="K139" s="399"/>
      <c r="L139" s="399"/>
      <c r="M139" s="399"/>
      <c r="N139" s="210"/>
      <c r="O139" s="3"/>
      <c r="P139" s="3"/>
      <c r="Q139" s="3"/>
      <c r="R139" s="3"/>
      <c r="S139" s="3"/>
      <c r="T139" s="3"/>
      <c r="U139" s="112"/>
    </row>
    <row r="140" spans="1:21" ht="39" x14ac:dyDescent="0.6">
      <c r="A140" s="369" t="s">
        <v>12</v>
      </c>
      <c r="B140" s="370"/>
      <c r="C140" s="371"/>
      <c r="D140" s="371"/>
      <c r="E140" s="371"/>
      <c r="F140" s="371"/>
      <c r="G140" s="371"/>
      <c r="H140" s="371"/>
      <c r="I140" s="371"/>
      <c r="J140" s="371"/>
      <c r="K140" s="371"/>
      <c r="L140" s="371"/>
      <c r="M140" s="371"/>
      <c r="N140" s="219"/>
      <c r="O140" s="164"/>
      <c r="P140" s="164"/>
      <c r="Q140" s="164"/>
      <c r="R140" s="164"/>
      <c r="S140" s="162"/>
      <c r="T140" s="162"/>
      <c r="U140" s="91"/>
    </row>
    <row r="141" spans="1:21" ht="16.149999999999999" customHeight="1" x14ac:dyDescent="0.6">
      <c r="A141" s="366"/>
      <c r="B141" s="367"/>
      <c r="C141" s="368"/>
      <c r="D141" s="368"/>
      <c r="E141" s="368"/>
      <c r="F141" s="368"/>
      <c r="G141" s="368"/>
      <c r="H141" s="368"/>
      <c r="I141" s="368"/>
      <c r="J141" s="368"/>
      <c r="K141" s="368"/>
      <c r="L141" s="368"/>
      <c r="M141" s="368"/>
      <c r="N141" s="219"/>
      <c r="O141" s="164"/>
      <c r="P141" s="164"/>
      <c r="Q141" s="164"/>
      <c r="R141" s="164"/>
      <c r="S141" s="162"/>
      <c r="T141" s="162"/>
      <c r="U141" s="91"/>
    </row>
    <row r="142" spans="1:21" ht="39" x14ac:dyDescent="0.6">
      <c r="A142" s="366" t="s">
        <v>13</v>
      </c>
      <c r="B142" s="367"/>
      <c r="C142" s="368"/>
      <c r="D142" s="368"/>
      <c r="E142" s="368"/>
      <c r="F142" s="368"/>
      <c r="G142" s="368"/>
      <c r="H142" s="368"/>
      <c r="I142" s="368"/>
      <c r="J142" s="368"/>
      <c r="K142" s="368"/>
      <c r="L142" s="368"/>
      <c r="M142" s="368"/>
      <c r="N142" s="219"/>
      <c r="O142" s="164"/>
      <c r="P142" s="164"/>
      <c r="Q142" s="164"/>
      <c r="R142" s="164"/>
      <c r="S142" s="162"/>
      <c r="T142" s="162"/>
      <c r="U142" s="91"/>
    </row>
    <row r="143" spans="1:21" ht="16.149999999999999" customHeight="1" x14ac:dyDescent="0.6">
      <c r="A143" s="366"/>
      <c r="B143" s="367"/>
      <c r="C143" s="368"/>
      <c r="D143" s="368"/>
      <c r="E143" s="368"/>
      <c r="F143" s="368"/>
      <c r="G143" s="368"/>
      <c r="H143" s="368"/>
      <c r="I143" s="368"/>
      <c r="J143" s="368"/>
      <c r="K143" s="368"/>
      <c r="L143" s="368"/>
      <c r="M143" s="368"/>
      <c r="N143" s="219"/>
      <c r="O143" s="164"/>
      <c r="P143" s="164"/>
      <c r="Q143" s="164"/>
      <c r="R143" s="164"/>
      <c r="S143" s="162"/>
      <c r="T143" s="162"/>
      <c r="U143" s="91"/>
    </row>
    <row r="144" spans="1:21" ht="39" x14ac:dyDescent="0.6">
      <c r="A144" s="366" t="s">
        <v>60</v>
      </c>
      <c r="B144" s="368"/>
      <c r="C144" s="368"/>
      <c r="D144" s="368"/>
      <c r="E144" s="368"/>
      <c r="F144" s="368"/>
      <c r="G144" s="368"/>
      <c r="H144" s="368"/>
      <c r="I144" s="368"/>
      <c r="J144" s="368"/>
      <c r="K144" s="368"/>
      <c r="L144" s="368"/>
      <c r="M144" s="368"/>
      <c r="N144" s="219">
        <f>+N142+N140</f>
        <v>0</v>
      </c>
      <c r="O144" s="164"/>
      <c r="P144" s="164"/>
      <c r="Q144" s="164"/>
      <c r="R144" s="164"/>
      <c r="S144" s="162"/>
      <c r="T144" s="162"/>
      <c r="U144" s="91"/>
    </row>
    <row r="145" spans="1:69" ht="16.149999999999999" customHeight="1" x14ac:dyDescent="0.6">
      <c r="A145" s="366"/>
      <c r="B145" s="368"/>
      <c r="C145" s="368"/>
      <c r="D145" s="368"/>
      <c r="E145" s="368"/>
      <c r="F145" s="368"/>
      <c r="G145" s="368"/>
      <c r="H145" s="368"/>
      <c r="I145" s="368"/>
      <c r="J145" s="368"/>
      <c r="K145" s="368"/>
      <c r="L145" s="368"/>
      <c r="M145" s="368"/>
      <c r="N145" s="219"/>
      <c r="O145" s="164"/>
      <c r="P145" s="164"/>
      <c r="Q145" s="164"/>
      <c r="R145" s="164"/>
      <c r="S145" s="162"/>
      <c r="T145" s="162"/>
      <c r="U145" s="91"/>
    </row>
    <row r="146" spans="1:69" ht="39" x14ac:dyDescent="0.6">
      <c r="A146" s="366" t="s">
        <v>75</v>
      </c>
      <c r="B146" s="367"/>
      <c r="C146" s="368"/>
      <c r="D146" s="368"/>
      <c r="E146" s="368"/>
      <c r="F146" s="368"/>
      <c r="G146" s="368"/>
      <c r="H146" s="368"/>
      <c r="I146" s="368"/>
      <c r="J146" s="368"/>
      <c r="K146" s="368"/>
      <c r="L146" s="368"/>
      <c r="M146" s="368"/>
      <c r="N146" s="219">
        <f>+N144*1.2</f>
        <v>0</v>
      </c>
      <c r="O146" s="164"/>
      <c r="P146" s="164"/>
      <c r="Q146" s="164"/>
      <c r="R146" s="164"/>
      <c r="S146" s="162"/>
      <c r="T146" s="162"/>
      <c r="U146" s="91"/>
    </row>
    <row r="147" spans="1:69" ht="16.149999999999999" customHeight="1" x14ac:dyDescent="0.6">
      <c r="A147" s="366"/>
      <c r="B147" s="367"/>
      <c r="C147" s="368"/>
      <c r="D147" s="368"/>
      <c r="E147" s="368"/>
      <c r="F147" s="368"/>
      <c r="G147" s="368"/>
      <c r="H147" s="368"/>
      <c r="I147" s="368"/>
      <c r="J147" s="368"/>
      <c r="K147" s="368"/>
      <c r="L147" s="368"/>
      <c r="M147" s="368"/>
      <c r="N147" s="220"/>
      <c r="O147" s="165"/>
      <c r="P147" s="165"/>
      <c r="Q147" s="165"/>
      <c r="R147" s="165"/>
      <c r="S147" s="163"/>
      <c r="T147" s="163"/>
      <c r="U147" s="96"/>
    </row>
    <row r="148" spans="1:69" ht="39" x14ac:dyDescent="0.6">
      <c r="A148" s="366" t="s">
        <v>52</v>
      </c>
      <c r="B148" s="367"/>
      <c r="C148" s="368"/>
      <c r="D148" s="368"/>
      <c r="E148" s="368"/>
      <c r="F148" s="368"/>
      <c r="G148" s="368"/>
      <c r="H148" s="368"/>
      <c r="I148" s="368"/>
      <c r="J148" s="368"/>
      <c r="K148" s="368"/>
      <c r="L148" s="368"/>
      <c r="M148" s="368"/>
      <c r="N148" s="220"/>
      <c r="O148" s="165"/>
      <c r="P148" s="165"/>
      <c r="Q148" s="165"/>
      <c r="R148" s="165"/>
      <c r="S148" s="163"/>
      <c r="T148" s="163"/>
      <c r="U148" s="96"/>
    </row>
    <row r="149" spans="1:69" ht="16.149999999999999" customHeight="1" x14ac:dyDescent="0.6">
      <c r="A149" s="366"/>
      <c r="B149" s="367"/>
      <c r="C149" s="368"/>
      <c r="D149" s="368"/>
      <c r="E149" s="368"/>
      <c r="F149" s="368"/>
      <c r="G149" s="368"/>
      <c r="H149" s="368"/>
      <c r="I149" s="368"/>
      <c r="J149" s="368"/>
      <c r="K149" s="368"/>
      <c r="L149" s="368"/>
      <c r="M149" s="368"/>
      <c r="N149" s="220"/>
      <c r="O149" s="165"/>
      <c r="P149" s="165"/>
      <c r="Q149" s="165"/>
      <c r="R149" s="165"/>
      <c r="S149" s="163"/>
      <c r="T149" s="163"/>
      <c r="U149" s="96"/>
    </row>
    <row r="150" spans="1:69" ht="39" x14ac:dyDescent="0.6">
      <c r="A150" s="366" t="s">
        <v>76</v>
      </c>
      <c r="B150" s="367"/>
      <c r="C150" s="368"/>
      <c r="D150" s="368"/>
      <c r="E150" s="368"/>
      <c r="F150" s="368"/>
      <c r="G150" s="368"/>
      <c r="H150" s="368"/>
      <c r="I150" s="368"/>
      <c r="J150" s="368"/>
      <c r="K150" s="368"/>
      <c r="L150" s="368"/>
      <c r="M150" s="368"/>
      <c r="N150" s="220"/>
      <c r="O150" s="165"/>
      <c r="P150" s="165"/>
      <c r="Q150" s="165"/>
      <c r="R150" s="165"/>
      <c r="S150" s="163"/>
      <c r="T150" s="163"/>
      <c r="U150" s="96"/>
    </row>
    <row r="151" spans="1:69" ht="16.149999999999999" customHeight="1" x14ac:dyDescent="0.6">
      <c r="A151" s="366"/>
      <c r="B151" s="367"/>
      <c r="C151" s="368"/>
      <c r="D151" s="368"/>
      <c r="E151" s="368"/>
      <c r="F151" s="368"/>
      <c r="G151" s="368"/>
      <c r="H151" s="368"/>
      <c r="I151" s="368"/>
      <c r="J151" s="368"/>
      <c r="K151" s="368"/>
      <c r="L151" s="368"/>
      <c r="M151" s="368"/>
      <c r="N151" s="220"/>
      <c r="O151" s="165"/>
      <c r="P151" s="165"/>
      <c r="Q151" s="165"/>
      <c r="R151" s="165"/>
      <c r="S151" s="163"/>
      <c r="T151" s="163"/>
      <c r="U151" s="96"/>
    </row>
    <row r="152" spans="1:69" ht="39" x14ac:dyDescent="0.6">
      <c r="A152" s="366" t="s">
        <v>77</v>
      </c>
      <c r="B152" s="367"/>
      <c r="C152" s="368"/>
      <c r="D152" s="368"/>
      <c r="E152" s="368"/>
      <c r="F152" s="368"/>
      <c r="G152" s="368"/>
      <c r="H152" s="368"/>
      <c r="I152" s="368"/>
      <c r="J152" s="368"/>
      <c r="K152" s="368"/>
      <c r="L152" s="368"/>
      <c r="M152" s="368"/>
      <c r="N152" s="220"/>
      <c r="O152" s="165"/>
      <c r="P152" s="165"/>
      <c r="Q152" s="165"/>
      <c r="R152" s="165"/>
      <c r="S152" s="163"/>
      <c r="T152" s="163"/>
      <c r="U152" s="96"/>
    </row>
    <row r="153" spans="1:69" ht="16.149999999999999" customHeight="1" x14ac:dyDescent="0.6">
      <c r="A153" s="366"/>
      <c r="B153" s="367"/>
      <c r="C153" s="368"/>
      <c r="D153" s="368"/>
      <c r="E153" s="368"/>
      <c r="F153" s="368"/>
      <c r="G153" s="368"/>
      <c r="H153" s="368"/>
      <c r="I153" s="368"/>
      <c r="J153" s="368"/>
      <c r="K153" s="368"/>
      <c r="L153" s="368"/>
      <c r="M153" s="368"/>
      <c r="N153" s="220"/>
      <c r="O153" s="165"/>
      <c r="P153" s="165"/>
      <c r="Q153" s="165"/>
      <c r="R153" s="165"/>
      <c r="S153" s="163"/>
      <c r="T153" s="163"/>
      <c r="U153" s="96"/>
    </row>
    <row r="154" spans="1:69" ht="39" x14ac:dyDescent="0.6">
      <c r="A154" s="366" t="s">
        <v>78</v>
      </c>
      <c r="B154" s="367"/>
      <c r="C154" s="368"/>
      <c r="D154" s="368"/>
      <c r="E154" s="368"/>
      <c r="F154" s="368"/>
      <c r="G154" s="368"/>
      <c r="H154" s="368"/>
      <c r="I154" s="368"/>
      <c r="J154" s="368"/>
      <c r="K154" s="368"/>
      <c r="L154" s="368"/>
      <c r="M154" s="368"/>
      <c r="N154" s="220"/>
      <c r="O154" s="165"/>
      <c r="P154" s="165"/>
      <c r="Q154" s="165"/>
      <c r="R154" s="165"/>
      <c r="S154" s="163"/>
      <c r="T154" s="163"/>
      <c r="U154" s="96"/>
    </row>
    <row r="155" spans="1:69" ht="16.149999999999999" customHeight="1" x14ac:dyDescent="0.6">
      <c r="A155" s="366"/>
      <c r="B155" s="367"/>
      <c r="C155" s="368"/>
      <c r="D155" s="368"/>
      <c r="E155" s="368"/>
      <c r="F155" s="368"/>
      <c r="G155" s="368"/>
      <c r="H155" s="368"/>
      <c r="I155" s="368"/>
      <c r="J155" s="368"/>
      <c r="K155" s="368"/>
      <c r="L155" s="368"/>
      <c r="M155" s="368"/>
      <c r="N155" s="220"/>
      <c r="O155" s="165"/>
      <c r="P155" s="165"/>
      <c r="Q155" s="165"/>
      <c r="R155" s="165"/>
      <c r="S155" s="163"/>
      <c r="T155" s="163"/>
      <c r="U155" s="96"/>
    </row>
    <row r="156" spans="1:69" ht="39.75" thickBot="1" x14ac:dyDescent="0.65">
      <c r="A156" s="438" t="s">
        <v>51</v>
      </c>
      <c r="B156" s="439"/>
      <c r="C156" s="440"/>
      <c r="D156" s="440"/>
      <c r="E156" s="440"/>
      <c r="F156" s="440"/>
      <c r="G156" s="440"/>
      <c r="H156" s="440"/>
      <c r="I156" s="440"/>
      <c r="J156" s="440"/>
      <c r="K156" s="440"/>
      <c r="L156" s="440"/>
      <c r="M156" s="440"/>
      <c r="N156" s="221"/>
      <c r="O156" s="165"/>
      <c r="P156" s="165"/>
      <c r="Q156" s="165"/>
      <c r="R156" s="165"/>
      <c r="S156" s="163"/>
      <c r="T156" s="163"/>
      <c r="U156" s="96"/>
    </row>
    <row r="158" spans="1:69" s="12" customFormat="1" ht="59.25" hidden="1" customHeight="1" x14ac:dyDescent="0.25">
      <c r="A158" s="419" t="s">
        <v>194</v>
      </c>
      <c r="B158" s="420"/>
      <c r="C158" s="420"/>
      <c r="D158" s="420"/>
      <c r="E158" s="420"/>
      <c r="F158" s="420"/>
      <c r="G158" s="420"/>
      <c r="H158" s="420"/>
      <c r="I158" s="420"/>
      <c r="J158" s="420"/>
      <c r="K158" s="420"/>
      <c r="L158" s="420"/>
      <c r="M158" s="420"/>
      <c r="N158" s="420"/>
      <c r="O158" s="421"/>
      <c r="P158" s="421"/>
      <c r="Q158" s="421"/>
      <c r="R158" s="421"/>
      <c r="S158" s="421"/>
      <c r="T158" s="421"/>
      <c r="U158" s="422"/>
      <c r="V158" s="15"/>
      <c r="W158" s="15"/>
      <c r="X158" s="15"/>
      <c r="Y158" s="15"/>
      <c r="Z158" s="15"/>
      <c r="AA158" s="15"/>
      <c r="AB158" s="15"/>
      <c r="AC158" s="15"/>
      <c r="AD158" s="15"/>
      <c r="AE158" s="15"/>
      <c r="AF158" s="15"/>
      <c r="AG158" s="15"/>
      <c r="AH158" s="15"/>
      <c r="AI158" s="15"/>
      <c r="AJ158" s="15"/>
      <c r="AK158" s="15"/>
      <c r="AL158" s="15"/>
      <c r="AM158" s="15"/>
      <c r="AN158" s="15"/>
      <c r="AO158" s="15"/>
      <c r="AP158" s="15"/>
      <c r="AQ158" s="15"/>
      <c r="AR158" s="15"/>
      <c r="AS158" s="15"/>
      <c r="AT158" s="15"/>
      <c r="AU158" s="15"/>
      <c r="AV158" s="15"/>
      <c r="AW158" s="15"/>
      <c r="AX158" s="15"/>
      <c r="AY158" s="15"/>
      <c r="AZ158" s="15"/>
      <c r="BA158" s="15"/>
      <c r="BB158" s="15"/>
      <c r="BC158" s="15"/>
      <c r="BD158" s="15"/>
      <c r="BE158" s="15"/>
      <c r="BF158" s="15"/>
      <c r="BG158" s="15"/>
      <c r="BH158" s="15"/>
      <c r="BI158" s="15"/>
      <c r="BJ158" s="15"/>
      <c r="BK158" s="15"/>
      <c r="BL158" s="15"/>
      <c r="BM158" s="15"/>
      <c r="BN158" s="15"/>
      <c r="BO158" s="15"/>
      <c r="BP158" s="15"/>
      <c r="BQ158" s="15"/>
    </row>
    <row r="159" spans="1:69" ht="24.6" hidden="1" customHeight="1" thickBot="1" x14ac:dyDescent="0.3">
      <c r="A159" s="423"/>
      <c r="B159" s="424"/>
      <c r="C159" s="424"/>
      <c r="D159" s="424"/>
      <c r="E159" s="424"/>
      <c r="F159" s="424"/>
      <c r="G159" s="424"/>
      <c r="H159" s="424"/>
      <c r="I159" s="424"/>
      <c r="J159" s="424"/>
      <c r="K159" s="424"/>
      <c r="L159" s="424"/>
      <c r="M159" s="424"/>
      <c r="N159" s="424"/>
      <c r="O159" s="379"/>
      <c r="P159" s="379"/>
      <c r="Q159" s="379"/>
      <c r="R159" s="379"/>
      <c r="S159" s="379"/>
      <c r="T159" s="379"/>
      <c r="U159" s="380"/>
      <c r="V159" s="15"/>
      <c r="W159" s="15"/>
      <c r="X159" s="15"/>
      <c r="Y159" s="15"/>
      <c r="Z159" s="15"/>
      <c r="AA159" s="15"/>
      <c r="AB159" s="15"/>
      <c r="AC159" s="15"/>
      <c r="AD159" s="15"/>
      <c r="AE159" s="15"/>
      <c r="AF159" s="15"/>
      <c r="AG159" s="15"/>
      <c r="AH159" s="15"/>
      <c r="AI159" s="15"/>
      <c r="AJ159" s="15"/>
      <c r="AK159" s="15"/>
      <c r="AL159" s="15"/>
      <c r="AM159" s="15"/>
      <c r="AN159" s="15"/>
      <c r="AO159" s="15"/>
      <c r="AP159" s="15"/>
      <c r="AQ159" s="15"/>
      <c r="AR159" s="15"/>
      <c r="AS159" s="15"/>
      <c r="AT159" s="15"/>
      <c r="AU159" s="15"/>
      <c r="AV159" s="15"/>
      <c r="AW159" s="15"/>
      <c r="AX159" s="15"/>
      <c r="AY159" s="15"/>
      <c r="AZ159" s="15"/>
      <c r="BA159" s="15"/>
      <c r="BB159" s="15"/>
      <c r="BC159" s="15"/>
      <c r="BD159" s="15"/>
      <c r="BE159" s="15"/>
      <c r="BF159" s="15"/>
      <c r="BG159" s="15"/>
      <c r="BH159" s="15"/>
      <c r="BI159" s="15"/>
      <c r="BJ159" s="15"/>
      <c r="BK159" s="15"/>
      <c r="BL159" s="15"/>
      <c r="BM159" s="15"/>
      <c r="BN159" s="15"/>
      <c r="BO159" s="15"/>
      <c r="BP159" s="15"/>
      <c r="BQ159" s="15"/>
    </row>
    <row r="160" spans="1:69" ht="41.25" hidden="1" customHeight="1" x14ac:dyDescent="0.25">
      <c r="A160" s="425">
        <v>1</v>
      </c>
      <c r="B160" s="426"/>
      <c r="C160" s="426"/>
      <c r="D160" s="426"/>
      <c r="E160" s="426"/>
      <c r="F160" s="426"/>
      <c r="G160" s="426"/>
      <c r="H160" s="426"/>
      <c r="I160" s="426"/>
      <c r="J160" s="426"/>
      <c r="K160" s="426"/>
      <c r="L160" s="426"/>
      <c r="M160" s="426"/>
      <c r="N160" s="426"/>
      <c r="O160" s="421"/>
      <c r="P160" s="421"/>
      <c r="Q160" s="421"/>
      <c r="R160" s="421"/>
      <c r="S160" s="421"/>
      <c r="T160" s="421"/>
      <c r="U160" s="422"/>
      <c r="V160" s="15"/>
      <c r="W160" s="15"/>
      <c r="X160" s="15"/>
      <c r="Y160" s="15"/>
      <c r="Z160" s="15"/>
      <c r="AA160" s="15"/>
      <c r="AB160" s="15"/>
      <c r="AC160" s="15"/>
      <c r="AD160" s="15"/>
      <c r="AE160" s="15"/>
      <c r="AF160" s="15"/>
      <c r="AG160" s="15"/>
      <c r="AH160" s="15"/>
      <c r="AI160" s="15"/>
      <c r="AJ160" s="15"/>
      <c r="AK160" s="15"/>
      <c r="AL160" s="15"/>
      <c r="AM160" s="15"/>
      <c r="AN160" s="15"/>
      <c r="AO160" s="15"/>
      <c r="AP160" s="15"/>
      <c r="AQ160" s="15"/>
      <c r="AR160" s="15"/>
      <c r="AS160" s="15"/>
      <c r="AT160" s="15"/>
      <c r="AU160" s="15"/>
      <c r="AV160" s="15"/>
      <c r="AW160" s="15"/>
      <c r="AX160" s="15"/>
      <c r="AY160" s="15"/>
      <c r="AZ160" s="15"/>
      <c r="BA160" s="15"/>
      <c r="BB160" s="15"/>
      <c r="BC160" s="15"/>
      <c r="BD160" s="15"/>
      <c r="BE160" s="15"/>
      <c r="BF160" s="15"/>
      <c r="BG160" s="15"/>
      <c r="BH160" s="15"/>
      <c r="BI160" s="15"/>
      <c r="BJ160" s="15"/>
      <c r="BK160" s="15"/>
      <c r="BL160" s="15"/>
      <c r="BM160" s="15"/>
      <c r="BN160" s="15"/>
      <c r="BO160" s="15"/>
      <c r="BP160" s="15"/>
      <c r="BQ160" s="15"/>
    </row>
    <row r="161" spans="1:69" ht="41.25" hidden="1" customHeight="1" x14ac:dyDescent="0.25">
      <c r="A161" s="427">
        <v>2</v>
      </c>
      <c r="B161" s="384"/>
      <c r="C161" s="384"/>
      <c r="D161" s="384"/>
      <c r="E161" s="384"/>
      <c r="F161" s="384"/>
      <c r="G161" s="384"/>
      <c r="H161" s="384"/>
      <c r="I161" s="384"/>
      <c r="J161" s="384"/>
      <c r="K161" s="384"/>
      <c r="L161" s="384"/>
      <c r="M161" s="384"/>
      <c r="N161" s="384"/>
      <c r="O161" s="239"/>
      <c r="P161" s="239"/>
      <c r="Q161" s="239"/>
      <c r="R161" s="239"/>
      <c r="S161" s="239"/>
      <c r="T161" s="239"/>
      <c r="U161" s="376"/>
      <c r="V161" s="15"/>
      <c r="W161" s="15"/>
      <c r="X161" s="15"/>
      <c r="Y161" s="15"/>
      <c r="Z161" s="15"/>
      <c r="AA161" s="15"/>
      <c r="AB161" s="15"/>
      <c r="AC161" s="15"/>
      <c r="AD161" s="15"/>
      <c r="AE161" s="15"/>
      <c r="AF161" s="15"/>
      <c r="AG161" s="15"/>
      <c r="AH161" s="15"/>
      <c r="AI161" s="15"/>
      <c r="AJ161" s="15"/>
      <c r="AK161" s="15"/>
      <c r="AL161" s="15"/>
      <c r="AM161" s="15"/>
      <c r="AN161" s="15"/>
      <c r="AO161" s="15"/>
      <c r="AP161" s="15"/>
      <c r="AQ161" s="15"/>
      <c r="AR161" s="15"/>
      <c r="AS161" s="15"/>
      <c r="AT161" s="15"/>
      <c r="AU161" s="15"/>
      <c r="AV161" s="15"/>
      <c r="AW161" s="15"/>
      <c r="AX161" s="15"/>
      <c r="AY161" s="15"/>
      <c r="AZ161" s="15"/>
      <c r="BA161" s="15"/>
      <c r="BB161" s="15"/>
      <c r="BC161" s="15"/>
      <c r="BD161" s="15"/>
      <c r="BE161" s="15"/>
      <c r="BF161" s="15"/>
      <c r="BG161" s="15"/>
      <c r="BH161" s="15"/>
      <c r="BI161" s="15"/>
      <c r="BJ161" s="15"/>
      <c r="BK161" s="15"/>
      <c r="BL161" s="15"/>
      <c r="BM161" s="15"/>
      <c r="BN161" s="15"/>
      <c r="BO161" s="15"/>
      <c r="BP161" s="15"/>
      <c r="BQ161" s="15"/>
    </row>
    <row r="162" spans="1:69" ht="41.25" hidden="1" customHeight="1" x14ac:dyDescent="0.25">
      <c r="A162" s="427">
        <v>3</v>
      </c>
      <c r="B162" s="384"/>
      <c r="C162" s="384"/>
      <c r="D162" s="384"/>
      <c r="E162" s="384"/>
      <c r="F162" s="384"/>
      <c r="G162" s="384"/>
      <c r="H162" s="384"/>
      <c r="I162" s="384"/>
      <c r="J162" s="384"/>
      <c r="K162" s="384"/>
      <c r="L162" s="384"/>
      <c r="M162" s="384"/>
      <c r="N162" s="384"/>
      <c r="O162" s="239"/>
      <c r="P162" s="239"/>
      <c r="Q162" s="239"/>
      <c r="R162" s="239"/>
      <c r="S162" s="239"/>
      <c r="T162" s="239"/>
      <c r="U162" s="376"/>
      <c r="V162" s="15"/>
      <c r="W162" s="15"/>
      <c r="X162" s="15"/>
      <c r="Y162" s="15"/>
      <c r="Z162" s="15"/>
      <c r="AA162" s="15"/>
      <c r="AB162" s="15"/>
      <c r="AC162" s="15"/>
      <c r="AD162" s="15"/>
      <c r="AE162" s="15"/>
      <c r="AF162" s="15"/>
      <c r="AG162" s="15"/>
      <c r="AH162" s="15"/>
      <c r="AI162" s="15"/>
      <c r="AJ162" s="15"/>
      <c r="AK162" s="15"/>
      <c r="AL162" s="15"/>
      <c r="AM162" s="15"/>
      <c r="AN162" s="15"/>
      <c r="AO162" s="15"/>
      <c r="AP162" s="15"/>
      <c r="AQ162" s="15"/>
      <c r="AR162" s="15"/>
      <c r="AS162" s="15"/>
      <c r="AT162" s="15"/>
      <c r="AU162" s="15"/>
      <c r="AV162" s="15"/>
      <c r="AW162" s="15"/>
      <c r="AX162" s="15"/>
      <c r="AY162" s="15"/>
      <c r="AZ162" s="15"/>
      <c r="BA162" s="15"/>
      <c r="BB162" s="15"/>
      <c r="BC162" s="15"/>
      <c r="BD162" s="15"/>
      <c r="BE162" s="15"/>
      <c r="BF162" s="15"/>
      <c r="BG162" s="15"/>
      <c r="BH162" s="15"/>
      <c r="BI162" s="15"/>
      <c r="BJ162" s="15"/>
      <c r="BK162" s="15"/>
      <c r="BL162" s="15"/>
      <c r="BM162" s="15"/>
      <c r="BN162" s="15"/>
      <c r="BO162" s="15"/>
      <c r="BP162" s="15"/>
      <c r="BQ162" s="15"/>
    </row>
    <row r="163" spans="1:69" ht="41.25" hidden="1" customHeight="1" thickBot="1" x14ac:dyDescent="0.3">
      <c r="A163" s="415">
        <v>4</v>
      </c>
      <c r="B163" s="378"/>
      <c r="C163" s="378"/>
      <c r="D163" s="378"/>
      <c r="E163" s="378"/>
      <c r="F163" s="378"/>
      <c r="G163" s="378"/>
      <c r="H163" s="378"/>
      <c r="I163" s="378"/>
      <c r="J163" s="378"/>
      <c r="K163" s="378"/>
      <c r="L163" s="378"/>
      <c r="M163" s="378"/>
      <c r="N163" s="378"/>
      <c r="O163" s="379"/>
      <c r="P163" s="379"/>
      <c r="Q163" s="379"/>
      <c r="R163" s="379"/>
      <c r="S163" s="379"/>
      <c r="T163" s="379"/>
      <c r="U163" s="380"/>
      <c r="V163" s="15"/>
      <c r="W163" s="15"/>
      <c r="X163" s="15"/>
      <c r="Y163" s="15"/>
      <c r="Z163" s="15"/>
      <c r="AA163" s="15"/>
      <c r="AB163" s="15"/>
      <c r="AC163" s="15"/>
      <c r="AD163" s="15"/>
      <c r="AE163" s="15"/>
      <c r="AF163" s="15"/>
      <c r="AG163" s="15"/>
      <c r="AH163" s="15"/>
      <c r="AI163" s="15"/>
      <c r="AJ163" s="15"/>
      <c r="AK163" s="15"/>
      <c r="AL163" s="15"/>
      <c r="AM163" s="15"/>
      <c r="AN163" s="15"/>
      <c r="AO163" s="15"/>
      <c r="AP163" s="15"/>
      <c r="AQ163" s="15"/>
      <c r="AR163" s="15"/>
      <c r="AS163" s="15"/>
      <c r="AT163" s="15"/>
      <c r="AU163" s="15"/>
      <c r="AV163" s="15"/>
      <c r="AW163" s="15"/>
      <c r="AX163" s="15"/>
      <c r="AY163" s="15"/>
      <c r="AZ163" s="15"/>
      <c r="BA163" s="15"/>
      <c r="BB163" s="15"/>
      <c r="BC163" s="15"/>
      <c r="BD163" s="15"/>
      <c r="BE163" s="15"/>
      <c r="BF163" s="15"/>
      <c r="BG163" s="15"/>
      <c r="BH163" s="15"/>
      <c r="BI163" s="15"/>
      <c r="BJ163" s="15"/>
      <c r="BK163" s="15"/>
      <c r="BL163" s="15"/>
      <c r="BM163" s="15"/>
      <c r="BN163" s="15"/>
      <c r="BO163" s="15"/>
      <c r="BP163" s="15"/>
      <c r="BQ163" s="15"/>
    </row>
    <row r="164" spans="1:69" ht="24" thickBot="1" x14ac:dyDescent="0.3">
      <c r="A164" s="33"/>
      <c r="B164" s="33"/>
      <c r="C164" s="33"/>
      <c r="D164" s="33"/>
      <c r="E164" s="33"/>
      <c r="F164" s="33"/>
      <c r="G164" s="33"/>
      <c r="H164" s="33"/>
      <c r="I164" s="33"/>
      <c r="J164" s="33"/>
      <c r="K164" s="33"/>
      <c r="L164" s="33"/>
      <c r="M164" s="33"/>
      <c r="N164" s="75"/>
      <c r="O164" s="75"/>
      <c r="P164" s="33"/>
      <c r="Q164" s="33"/>
      <c r="R164" s="33"/>
      <c r="S164" s="33"/>
      <c r="T164" s="33"/>
      <c r="U164" s="33"/>
    </row>
    <row r="165" spans="1:69" ht="53.1" customHeight="1" thickBot="1" x14ac:dyDescent="0.3">
      <c r="A165" s="313" t="s">
        <v>79</v>
      </c>
      <c r="B165" s="400"/>
      <c r="C165" s="400"/>
      <c r="D165" s="400"/>
      <c r="E165" s="400"/>
      <c r="F165" s="400"/>
      <c r="G165" s="400"/>
      <c r="H165" s="400"/>
      <c r="I165" s="400"/>
      <c r="J165" s="400"/>
      <c r="K165" s="400"/>
      <c r="L165" s="400"/>
      <c r="M165" s="400"/>
      <c r="N165" s="400"/>
      <c r="O165" s="400"/>
      <c r="P165" s="400"/>
      <c r="Q165" s="400"/>
      <c r="R165" s="400"/>
      <c r="S165" s="400"/>
      <c r="T165" s="401"/>
      <c r="U165" s="402"/>
    </row>
    <row r="166" spans="1:69" ht="105" customHeight="1" thickBot="1" x14ac:dyDescent="0.55000000000000004">
      <c r="A166" s="403" t="s">
        <v>80</v>
      </c>
      <c r="B166" s="404"/>
      <c r="C166" s="404"/>
      <c r="D166" s="404"/>
      <c r="E166" s="404"/>
      <c r="F166" s="404"/>
      <c r="G166" s="404"/>
      <c r="H166" s="404"/>
      <c r="I166" s="404"/>
      <c r="J166" s="404"/>
      <c r="K166" s="404"/>
      <c r="L166" s="404"/>
      <c r="M166" s="404"/>
      <c r="N166" s="404"/>
      <c r="O166" s="405"/>
      <c r="P166" s="405"/>
      <c r="Q166" s="405"/>
      <c r="R166" s="405"/>
      <c r="S166" s="405"/>
      <c r="T166" s="406"/>
      <c r="U166" s="407"/>
    </row>
    <row r="167" spans="1:69" ht="63" customHeight="1" x14ac:dyDescent="0.6">
      <c r="A167" s="408" t="s">
        <v>15</v>
      </c>
      <c r="B167" s="409"/>
      <c r="C167" s="409"/>
      <c r="D167" s="409"/>
      <c r="E167" s="409"/>
      <c r="F167" s="409"/>
      <c r="G167" s="409"/>
      <c r="H167" s="409"/>
      <c r="I167" s="409"/>
      <c r="J167" s="409"/>
      <c r="K167" s="409"/>
      <c r="L167" s="409"/>
      <c r="M167" s="409"/>
      <c r="N167" s="409"/>
      <c r="O167" s="410"/>
      <c r="P167" s="410"/>
      <c r="Q167" s="410"/>
      <c r="R167" s="410"/>
      <c r="S167" s="410"/>
      <c r="T167" s="410"/>
      <c r="U167" s="411"/>
    </row>
    <row r="168" spans="1:69" ht="63" customHeight="1" x14ac:dyDescent="0.6">
      <c r="A168" s="412" t="s">
        <v>16</v>
      </c>
      <c r="B168" s="413"/>
      <c r="C168" s="413"/>
      <c r="D168" s="413"/>
      <c r="E168" s="413"/>
      <c r="F168" s="413"/>
      <c r="G168" s="413"/>
      <c r="H168" s="413"/>
      <c r="I168" s="413"/>
      <c r="J168" s="413"/>
      <c r="K168" s="413"/>
      <c r="L168" s="413"/>
      <c r="M168" s="413"/>
      <c r="N168" s="413"/>
      <c r="O168" s="237"/>
      <c r="P168" s="237"/>
      <c r="Q168" s="237"/>
      <c r="R168" s="237"/>
      <c r="S168" s="237"/>
      <c r="T168" s="237"/>
      <c r="U168" s="414"/>
    </row>
    <row r="169" spans="1:69" ht="63" customHeight="1" x14ac:dyDescent="0.6">
      <c r="A169" s="412" t="s">
        <v>17</v>
      </c>
      <c r="B169" s="413"/>
      <c r="C169" s="413"/>
      <c r="D169" s="413"/>
      <c r="E169" s="413"/>
      <c r="F169" s="413"/>
      <c r="G169" s="413"/>
      <c r="H169" s="413"/>
      <c r="I169" s="413"/>
      <c r="J169" s="413"/>
      <c r="K169" s="413"/>
      <c r="L169" s="413"/>
      <c r="M169" s="413"/>
      <c r="N169" s="413"/>
      <c r="O169" s="237"/>
      <c r="P169" s="237"/>
      <c r="Q169" s="237"/>
      <c r="R169" s="237"/>
      <c r="S169" s="237"/>
      <c r="T169" s="237"/>
      <c r="U169" s="414"/>
    </row>
    <row r="170" spans="1:69" ht="36.75" customHeight="1" x14ac:dyDescent="0.6">
      <c r="A170" s="412"/>
      <c r="B170" s="413"/>
      <c r="C170" s="413"/>
      <c r="D170" s="413"/>
      <c r="E170" s="413"/>
      <c r="F170" s="413"/>
      <c r="G170" s="413"/>
      <c r="H170" s="413"/>
      <c r="I170" s="413"/>
      <c r="J170" s="413"/>
      <c r="K170" s="413"/>
      <c r="L170" s="413"/>
      <c r="M170" s="413"/>
      <c r="N170" s="413"/>
      <c r="O170" s="237"/>
      <c r="P170" s="237"/>
      <c r="Q170" s="237"/>
      <c r="R170" s="237"/>
      <c r="S170" s="237"/>
      <c r="T170" s="237"/>
      <c r="U170" s="414"/>
    </row>
    <row r="171" spans="1:69" ht="84.6" customHeight="1" x14ac:dyDescent="0.25">
      <c r="A171" s="444" t="s">
        <v>192</v>
      </c>
      <c r="B171" s="382"/>
      <c r="C171" s="382"/>
      <c r="D171" s="382"/>
      <c r="E171" s="382"/>
      <c r="F171" s="382"/>
      <c r="G171" s="382"/>
      <c r="H171" s="382"/>
      <c r="I171" s="382"/>
      <c r="J171" s="382"/>
      <c r="K171" s="382"/>
      <c r="L171" s="382"/>
      <c r="M171" s="382"/>
      <c r="N171" s="382"/>
      <c r="O171" s="237"/>
      <c r="P171" s="237"/>
      <c r="Q171" s="237"/>
      <c r="R171" s="237"/>
      <c r="S171" s="237"/>
      <c r="T171" s="237"/>
      <c r="U171" s="414"/>
    </row>
    <row r="172" spans="1:69" ht="84.6" customHeight="1" x14ac:dyDescent="0.25">
      <c r="A172" s="444" t="s">
        <v>149</v>
      </c>
      <c r="B172" s="382"/>
      <c r="C172" s="382"/>
      <c r="D172" s="382"/>
      <c r="E172" s="382"/>
      <c r="F172" s="382"/>
      <c r="G172" s="382"/>
      <c r="H172" s="382"/>
      <c r="I172" s="382"/>
      <c r="J172" s="382"/>
      <c r="K172" s="382"/>
      <c r="L172" s="382"/>
      <c r="M172" s="382"/>
      <c r="N172" s="382"/>
      <c r="O172" s="237"/>
      <c r="P172" s="237"/>
      <c r="Q172" s="237"/>
      <c r="R172" s="237"/>
      <c r="S172" s="237"/>
      <c r="T172" s="237"/>
      <c r="U172" s="414"/>
    </row>
    <row r="173" spans="1:69" ht="84.6" customHeight="1" x14ac:dyDescent="0.25">
      <c r="A173" s="445" t="s">
        <v>125</v>
      </c>
      <c r="B173" s="384"/>
      <c r="C173" s="384"/>
      <c r="D173" s="384"/>
      <c r="E173" s="384"/>
      <c r="F173" s="384"/>
      <c r="G173" s="384"/>
      <c r="H173" s="384"/>
      <c r="I173" s="384"/>
      <c r="J173" s="384"/>
      <c r="K173" s="384"/>
      <c r="L173" s="384"/>
      <c r="M173" s="384"/>
      <c r="N173" s="384"/>
      <c r="O173" s="384"/>
      <c r="P173" s="384"/>
      <c r="Q173" s="384"/>
      <c r="R173" s="384"/>
      <c r="S173" s="384"/>
      <c r="T173" s="446"/>
      <c r="U173" s="447"/>
    </row>
    <row r="174" spans="1:69" ht="84.6" customHeight="1" x14ac:dyDescent="0.25">
      <c r="A174" s="445" t="s">
        <v>143</v>
      </c>
      <c r="B174" s="384"/>
      <c r="C174" s="384"/>
      <c r="D174" s="384"/>
      <c r="E174" s="384"/>
      <c r="F174" s="384"/>
      <c r="G174" s="384"/>
      <c r="H174" s="384"/>
      <c r="I174" s="384"/>
      <c r="J174" s="384"/>
      <c r="K174" s="384"/>
      <c r="L174" s="384"/>
      <c r="M174" s="384"/>
      <c r="N174" s="384"/>
      <c r="O174" s="384"/>
      <c r="P174" s="384"/>
      <c r="Q174" s="384"/>
      <c r="R174" s="384"/>
      <c r="S174" s="384"/>
      <c r="T174" s="446"/>
      <c r="U174" s="447"/>
    </row>
    <row r="175" spans="1:69" ht="84.6" customHeight="1" x14ac:dyDescent="0.25">
      <c r="A175" s="445" t="s">
        <v>112</v>
      </c>
      <c r="B175" s="384"/>
      <c r="C175" s="384"/>
      <c r="D175" s="384"/>
      <c r="E175" s="384"/>
      <c r="F175" s="384"/>
      <c r="G175" s="384"/>
      <c r="H175" s="384"/>
      <c r="I175" s="384"/>
      <c r="J175" s="384"/>
      <c r="K175" s="384"/>
      <c r="L175" s="384"/>
      <c r="M175" s="384"/>
      <c r="N175" s="384"/>
      <c r="O175" s="384"/>
      <c r="P175" s="384"/>
      <c r="Q175" s="384"/>
      <c r="R175" s="384"/>
      <c r="S175" s="384"/>
      <c r="T175" s="446"/>
      <c r="U175" s="447"/>
    </row>
    <row r="176" spans="1:69" ht="84.6" customHeight="1" thickBot="1" x14ac:dyDescent="0.3">
      <c r="A176" s="416" t="s">
        <v>86</v>
      </c>
      <c r="B176" s="378"/>
      <c r="C176" s="378"/>
      <c r="D176" s="378"/>
      <c r="E176" s="378"/>
      <c r="F176" s="378"/>
      <c r="G176" s="378"/>
      <c r="H176" s="378"/>
      <c r="I176" s="378"/>
      <c r="J176" s="378"/>
      <c r="K176" s="378"/>
      <c r="L176" s="378"/>
      <c r="M176" s="378"/>
      <c r="N176" s="378"/>
      <c r="O176" s="417"/>
      <c r="P176" s="417"/>
      <c r="Q176" s="417"/>
      <c r="R176" s="417"/>
      <c r="S176" s="417"/>
      <c r="T176" s="417"/>
      <c r="U176" s="418"/>
    </row>
    <row r="180" spans="1:21" hidden="1" x14ac:dyDescent="0.25"/>
    <row r="181" spans="1:21" hidden="1" x14ac:dyDescent="0.25"/>
    <row r="182" spans="1:21" hidden="1" x14ac:dyDescent="0.25"/>
    <row r="183" spans="1:21" hidden="1" x14ac:dyDescent="0.25"/>
    <row r="184" spans="1:21" ht="19.5" thickBot="1" x14ac:dyDescent="0.3"/>
    <row r="185" spans="1:21" ht="31.5" x14ac:dyDescent="0.25">
      <c r="A185" s="441"/>
      <c r="B185" s="426"/>
      <c r="C185" s="426"/>
      <c r="D185" s="426"/>
      <c r="E185" s="426"/>
      <c r="F185" s="426"/>
      <c r="G185" s="426"/>
      <c r="H185" s="426"/>
      <c r="I185" s="426"/>
      <c r="J185" s="426"/>
      <c r="K185" s="426"/>
      <c r="L185" s="426"/>
      <c r="M185" s="426"/>
      <c r="N185" s="426"/>
      <c r="O185" s="421"/>
      <c r="P185" s="421"/>
      <c r="Q185" s="421"/>
      <c r="R185" s="421"/>
      <c r="S185" s="421"/>
      <c r="T185" s="421"/>
      <c r="U185" s="422"/>
    </row>
    <row r="186" spans="1:21" ht="31.5" x14ac:dyDescent="0.25">
      <c r="A186" s="374" t="s">
        <v>89</v>
      </c>
      <c r="B186" s="384"/>
      <c r="C186" s="384"/>
      <c r="D186" s="384"/>
      <c r="E186" s="384"/>
      <c r="F186" s="384"/>
      <c r="G186" s="384"/>
      <c r="H186" s="384"/>
      <c r="I186" s="384"/>
      <c r="J186" s="384"/>
      <c r="K186" s="384"/>
      <c r="L186" s="384"/>
      <c r="M186" s="384"/>
      <c r="N186" s="384"/>
      <c r="O186" s="239"/>
      <c r="P186" s="239"/>
      <c r="Q186" s="239"/>
      <c r="R186" s="239"/>
      <c r="S186" s="239"/>
      <c r="T186" s="239"/>
      <c r="U186" s="376"/>
    </row>
    <row r="187" spans="1:21" ht="31.5" x14ac:dyDescent="0.25">
      <c r="A187" s="383"/>
      <c r="B187" s="384"/>
      <c r="C187" s="384"/>
      <c r="D187" s="384"/>
      <c r="E187" s="384"/>
      <c r="F187" s="384"/>
      <c r="G187" s="384"/>
      <c r="H187" s="384"/>
      <c r="I187" s="384"/>
      <c r="J187" s="384"/>
      <c r="K187" s="384"/>
      <c r="L187" s="384"/>
      <c r="M187" s="384"/>
      <c r="N187" s="384"/>
      <c r="O187" s="239"/>
      <c r="P187" s="239"/>
      <c r="Q187" s="239"/>
      <c r="R187" s="239"/>
      <c r="S187" s="239"/>
      <c r="T187" s="239"/>
      <c r="U187" s="376"/>
    </row>
    <row r="188" spans="1:21" ht="40.35" customHeight="1" x14ac:dyDescent="0.25">
      <c r="A188" s="374" t="s">
        <v>20</v>
      </c>
      <c r="B188" s="384"/>
      <c r="C188" s="384"/>
      <c r="D188" s="384"/>
      <c r="E188" s="384"/>
      <c r="F188" s="384"/>
      <c r="G188" s="384"/>
      <c r="H188" s="384"/>
      <c r="I188" s="384"/>
      <c r="J188" s="384"/>
      <c r="K188" s="384"/>
      <c r="L188" s="384"/>
      <c r="M188" s="384"/>
      <c r="N188" s="384"/>
      <c r="O188" s="239"/>
      <c r="P188" s="239"/>
      <c r="Q188" s="239"/>
      <c r="R188" s="239"/>
      <c r="S188" s="239"/>
      <c r="T188" s="239"/>
      <c r="U188" s="376"/>
    </row>
    <row r="189" spans="1:21" ht="40.35" customHeight="1" x14ac:dyDescent="0.25">
      <c r="A189" s="383" t="s">
        <v>113</v>
      </c>
      <c r="B189" s="384"/>
      <c r="C189" s="384"/>
      <c r="D189" s="384"/>
      <c r="E189" s="384"/>
      <c r="F189" s="384"/>
      <c r="G189" s="384"/>
      <c r="H189" s="384"/>
      <c r="I189" s="384"/>
      <c r="J189" s="384"/>
      <c r="K189" s="384"/>
      <c r="L189" s="384"/>
      <c r="M189" s="384"/>
      <c r="N189" s="384"/>
      <c r="O189" s="239"/>
      <c r="P189" s="239"/>
      <c r="Q189" s="239"/>
      <c r="R189" s="239"/>
      <c r="S189" s="239"/>
      <c r="T189" s="239"/>
      <c r="U189" s="376"/>
    </row>
    <row r="190" spans="1:21" ht="40.35" customHeight="1" x14ac:dyDescent="0.25">
      <c r="A190" s="383" t="s">
        <v>150</v>
      </c>
      <c r="B190" s="384"/>
      <c r="C190" s="384"/>
      <c r="D190" s="384"/>
      <c r="E190" s="384"/>
      <c r="F190" s="384"/>
      <c r="G190" s="384"/>
      <c r="H190" s="384"/>
      <c r="I190" s="384"/>
      <c r="J190" s="384"/>
      <c r="K190" s="384"/>
      <c r="L190" s="384"/>
      <c r="M190" s="384"/>
      <c r="N190" s="384"/>
      <c r="O190" s="239"/>
      <c r="P190" s="239"/>
      <c r="Q190" s="239"/>
      <c r="R190" s="239"/>
      <c r="S190" s="239"/>
      <c r="T190" s="239"/>
      <c r="U190" s="376"/>
    </row>
    <row r="191" spans="1:21" ht="40.35" customHeight="1" x14ac:dyDescent="0.25">
      <c r="A191" s="383" t="s">
        <v>165</v>
      </c>
      <c r="B191" s="384"/>
      <c r="C191" s="384"/>
      <c r="D191" s="384"/>
      <c r="E191" s="384"/>
      <c r="F191" s="384"/>
      <c r="G191" s="384"/>
      <c r="H191" s="384"/>
      <c r="I191" s="384"/>
      <c r="J191" s="384"/>
      <c r="K191" s="384"/>
      <c r="L191" s="384"/>
      <c r="M191" s="384"/>
      <c r="N191" s="384"/>
      <c r="O191" s="239"/>
      <c r="P191" s="239"/>
      <c r="Q191" s="239"/>
      <c r="R191" s="239"/>
      <c r="S191" s="239"/>
      <c r="T191" s="239"/>
      <c r="U191" s="376"/>
    </row>
    <row r="192" spans="1:21" ht="82.9" customHeight="1" x14ac:dyDescent="0.25">
      <c r="A192" s="383" t="s">
        <v>193</v>
      </c>
      <c r="B192" s="384"/>
      <c r="C192" s="384"/>
      <c r="D192" s="384"/>
      <c r="E192" s="384"/>
      <c r="F192" s="384"/>
      <c r="G192" s="384"/>
      <c r="H192" s="384"/>
      <c r="I192" s="384"/>
      <c r="J192" s="384"/>
      <c r="K192" s="384"/>
      <c r="L192" s="384"/>
      <c r="M192" s="384"/>
      <c r="N192" s="384"/>
      <c r="O192" s="384"/>
      <c r="P192" s="384"/>
      <c r="Q192" s="384"/>
      <c r="R192" s="384"/>
      <c r="S192" s="384"/>
      <c r="T192" s="239"/>
      <c r="U192" s="376"/>
    </row>
    <row r="193" spans="1:21" ht="49.7" customHeight="1" x14ac:dyDescent="0.25">
      <c r="A193" s="383" t="s">
        <v>151</v>
      </c>
      <c r="B193" s="384"/>
      <c r="C193" s="384"/>
      <c r="D193" s="384"/>
      <c r="E193" s="384"/>
      <c r="F193" s="384"/>
      <c r="G193" s="384"/>
      <c r="H193" s="384"/>
      <c r="I193" s="384"/>
      <c r="J193" s="384"/>
      <c r="K193" s="384"/>
      <c r="L193" s="384"/>
      <c r="M193" s="384"/>
      <c r="N193" s="384"/>
      <c r="O193" s="239"/>
      <c r="P193" s="239"/>
      <c r="Q193" s="239"/>
      <c r="R193" s="239"/>
      <c r="S193" s="239"/>
      <c r="T193" s="239"/>
      <c r="U193" s="376"/>
    </row>
    <row r="194" spans="1:21" ht="72" customHeight="1" x14ac:dyDescent="0.25">
      <c r="A194" s="383" t="s">
        <v>90</v>
      </c>
      <c r="B194" s="384"/>
      <c r="C194" s="384"/>
      <c r="D194" s="384"/>
      <c r="E194" s="384"/>
      <c r="F194" s="384"/>
      <c r="G194" s="384"/>
      <c r="H194" s="384"/>
      <c r="I194" s="384"/>
      <c r="J194" s="384"/>
      <c r="K194" s="384"/>
      <c r="L194" s="384"/>
      <c r="M194" s="384"/>
      <c r="N194" s="384"/>
      <c r="O194" s="239"/>
      <c r="P194" s="239"/>
      <c r="Q194" s="239"/>
      <c r="R194" s="239"/>
      <c r="S194" s="239"/>
      <c r="T194" s="239"/>
      <c r="U194" s="376"/>
    </row>
    <row r="195" spans="1:21" ht="88.9" customHeight="1" x14ac:dyDescent="0.25">
      <c r="A195" s="383" t="s">
        <v>91</v>
      </c>
      <c r="B195" s="384"/>
      <c r="C195" s="384"/>
      <c r="D195" s="384"/>
      <c r="E195" s="384"/>
      <c r="F195" s="384"/>
      <c r="G195" s="384"/>
      <c r="H195" s="384"/>
      <c r="I195" s="384"/>
      <c r="J195" s="384"/>
      <c r="K195" s="384"/>
      <c r="L195" s="384"/>
      <c r="M195" s="384"/>
      <c r="N195" s="384"/>
      <c r="O195" s="384"/>
      <c r="P195" s="384"/>
      <c r="Q195" s="384"/>
      <c r="R195" s="384"/>
      <c r="S195" s="384"/>
      <c r="T195" s="239"/>
      <c r="U195" s="376"/>
    </row>
    <row r="196" spans="1:21" ht="81.75" customHeight="1" x14ac:dyDescent="0.25">
      <c r="A196" s="383" t="s">
        <v>141</v>
      </c>
      <c r="B196" s="384"/>
      <c r="C196" s="384"/>
      <c r="D196" s="384"/>
      <c r="E196" s="384"/>
      <c r="F196" s="384"/>
      <c r="G196" s="384"/>
      <c r="H196" s="384"/>
      <c r="I196" s="384"/>
      <c r="J196" s="384"/>
      <c r="K196" s="384"/>
      <c r="L196" s="384"/>
      <c r="M196" s="384"/>
      <c r="N196" s="384"/>
      <c r="O196" s="384"/>
      <c r="P196" s="384"/>
      <c r="Q196" s="384"/>
      <c r="R196" s="384"/>
      <c r="S196" s="384"/>
      <c r="T196" s="239"/>
      <c r="U196" s="376"/>
    </row>
    <row r="197" spans="1:21" ht="37.9" customHeight="1" x14ac:dyDescent="0.25">
      <c r="A197" s="383" t="s">
        <v>166</v>
      </c>
      <c r="B197" s="384"/>
      <c r="C197" s="384"/>
      <c r="D197" s="384"/>
      <c r="E197" s="384"/>
      <c r="F197" s="384"/>
      <c r="G197" s="384"/>
      <c r="H197" s="384"/>
      <c r="I197" s="384"/>
      <c r="J197" s="384"/>
      <c r="K197" s="384"/>
      <c r="L197" s="384"/>
      <c r="M197" s="384"/>
      <c r="N197" s="384"/>
      <c r="O197" s="384"/>
      <c r="P197" s="384"/>
      <c r="Q197" s="384"/>
      <c r="R197" s="384"/>
      <c r="S197" s="384"/>
      <c r="T197" s="239"/>
      <c r="U197" s="376"/>
    </row>
    <row r="198" spans="1:21" ht="67.349999999999994" customHeight="1" x14ac:dyDescent="0.25">
      <c r="A198" s="374" t="s">
        <v>117</v>
      </c>
      <c r="B198" s="384"/>
      <c r="C198" s="384"/>
      <c r="D198" s="384"/>
      <c r="E198" s="384"/>
      <c r="F198" s="384"/>
      <c r="G198" s="384"/>
      <c r="H198" s="384"/>
      <c r="I198" s="384"/>
      <c r="J198" s="384"/>
      <c r="K198" s="384"/>
      <c r="L198" s="384"/>
      <c r="M198" s="384"/>
      <c r="N198" s="384"/>
      <c r="O198" s="239"/>
      <c r="P198" s="239"/>
      <c r="Q198" s="239"/>
      <c r="R198" s="239"/>
      <c r="S198" s="239"/>
      <c r="T198" s="239"/>
      <c r="U198" s="376"/>
    </row>
    <row r="199" spans="1:21" ht="70.5" customHeight="1" x14ac:dyDescent="0.25">
      <c r="A199" s="383" t="s">
        <v>118</v>
      </c>
      <c r="B199" s="384"/>
      <c r="C199" s="384"/>
      <c r="D199" s="384"/>
      <c r="E199" s="384"/>
      <c r="F199" s="384"/>
      <c r="G199" s="384"/>
      <c r="H199" s="384"/>
      <c r="I199" s="384"/>
      <c r="J199" s="384"/>
      <c r="K199" s="384"/>
      <c r="L199" s="384"/>
      <c r="M199" s="384"/>
      <c r="N199" s="384"/>
      <c r="O199" s="384"/>
      <c r="P199" s="384"/>
      <c r="Q199" s="384"/>
      <c r="R199" s="384"/>
      <c r="S199" s="384"/>
      <c r="T199" s="239"/>
      <c r="U199" s="376"/>
    </row>
    <row r="200" spans="1:21" ht="26.1" hidden="1" customHeight="1" x14ac:dyDescent="0.25">
      <c r="A200" s="381"/>
      <c r="B200" s="382"/>
      <c r="C200" s="382"/>
      <c r="D200" s="382"/>
      <c r="E200" s="382"/>
      <c r="F200" s="382"/>
      <c r="G200" s="382"/>
      <c r="H200" s="382"/>
      <c r="I200" s="382"/>
      <c r="J200" s="382"/>
      <c r="K200" s="382"/>
      <c r="L200" s="382"/>
      <c r="M200" s="382"/>
      <c r="N200" s="382"/>
      <c r="O200" s="213"/>
      <c r="P200" s="213"/>
      <c r="Q200" s="213"/>
      <c r="R200" s="213"/>
      <c r="S200" s="214"/>
      <c r="T200" s="223"/>
      <c r="U200" s="224"/>
    </row>
    <row r="201" spans="1:21" ht="46.9" customHeight="1" x14ac:dyDescent="0.25">
      <c r="A201" s="374" t="s">
        <v>114</v>
      </c>
      <c r="B201" s="375"/>
      <c r="C201" s="375"/>
      <c r="D201" s="375"/>
      <c r="E201" s="375"/>
      <c r="F201" s="375"/>
      <c r="G201" s="375"/>
      <c r="H201" s="375"/>
      <c r="I201" s="375"/>
      <c r="J201" s="375"/>
      <c r="K201" s="375"/>
      <c r="L201" s="375"/>
      <c r="M201" s="375"/>
      <c r="N201" s="375"/>
      <c r="O201" s="239"/>
      <c r="P201" s="239"/>
      <c r="Q201" s="239"/>
      <c r="R201" s="239"/>
      <c r="S201" s="239"/>
      <c r="T201" s="239"/>
      <c r="U201" s="376"/>
    </row>
    <row r="202" spans="1:21" ht="40.35" customHeight="1" x14ac:dyDescent="0.25">
      <c r="A202" s="383" t="s">
        <v>152</v>
      </c>
      <c r="B202" s="384"/>
      <c r="C202" s="384"/>
      <c r="D202" s="384"/>
      <c r="E202" s="384"/>
      <c r="F202" s="384"/>
      <c r="G202" s="384"/>
      <c r="H202" s="384"/>
      <c r="I202" s="384"/>
      <c r="J202" s="384"/>
      <c r="K202" s="384"/>
      <c r="L202" s="384"/>
      <c r="M202" s="384"/>
      <c r="N202" s="384"/>
      <c r="O202" s="239"/>
      <c r="P202" s="239"/>
      <c r="Q202" s="239"/>
      <c r="R202" s="239"/>
      <c r="S202" s="239"/>
      <c r="T202" s="239"/>
      <c r="U202" s="376"/>
    </row>
    <row r="203" spans="1:21" ht="40.35" customHeight="1" x14ac:dyDescent="0.25">
      <c r="A203" s="383" t="s">
        <v>153</v>
      </c>
      <c r="B203" s="384"/>
      <c r="C203" s="384"/>
      <c r="D203" s="384"/>
      <c r="E203" s="384"/>
      <c r="F203" s="384"/>
      <c r="G203" s="384"/>
      <c r="H203" s="384"/>
      <c r="I203" s="384"/>
      <c r="J203" s="384"/>
      <c r="K203" s="384"/>
      <c r="L203" s="384"/>
      <c r="M203" s="384"/>
      <c r="N203" s="384"/>
      <c r="O203" s="239"/>
      <c r="P203" s="239"/>
      <c r="Q203" s="239"/>
      <c r="R203" s="239"/>
      <c r="S203" s="239"/>
      <c r="T203" s="239"/>
      <c r="U203" s="376"/>
    </row>
    <row r="204" spans="1:21" ht="40.35" customHeight="1" x14ac:dyDescent="0.25">
      <c r="A204" s="383" t="s">
        <v>154</v>
      </c>
      <c r="B204" s="384"/>
      <c r="C204" s="384"/>
      <c r="D204" s="384"/>
      <c r="E204" s="384"/>
      <c r="F204" s="384"/>
      <c r="G204" s="384"/>
      <c r="H204" s="384"/>
      <c r="I204" s="384"/>
      <c r="J204" s="384"/>
      <c r="K204" s="384"/>
      <c r="L204" s="384"/>
      <c r="M204" s="384"/>
      <c r="N204" s="384"/>
      <c r="O204" s="239"/>
      <c r="P204" s="239"/>
      <c r="Q204" s="239"/>
      <c r="R204" s="239"/>
      <c r="S204" s="239"/>
      <c r="T204" s="239"/>
      <c r="U204" s="376"/>
    </row>
    <row r="205" spans="1:21" ht="40.35" customHeight="1" x14ac:dyDescent="0.25">
      <c r="A205" s="383" t="s">
        <v>155</v>
      </c>
      <c r="B205" s="384"/>
      <c r="C205" s="384"/>
      <c r="D205" s="384"/>
      <c r="E205" s="384"/>
      <c r="F205" s="384"/>
      <c r="G205" s="384"/>
      <c r="H205" s="384"/>
      <c r="I205" s="384"/>
      <c r="J205" s="384"/>
      <c r="K205" s="384"/>
      <c r="L205" s="384"/>
      <c r="M205" s="384"/>
      <c r="N205" s="384"/>
      <c r="O205" s="239"/>
      <c r="P205" s="239"/>
      <c r="Q205" s="239"/>
      <c r="R205" s="239"/>
      <c r="S205" s="239"/>
      <c r="T205" s="239"/>
      <c r="U205" s="376"/>
    </row>
    <row r="206" spans="1:21" ht="40.35" customHeight="1" x14ac:dyDescent="0.25">
      <c r="A206" s="383" t="s">
        <v>156</v>
      </c>
      <c r="B206" s="384"/>
      <c r="C206" s="384"/>
      <c r="D206" s="384"/>
      <c r="E206" s="384"/>
      <c r="F206" s="384"/>
      <c r="G206" s="384"/>
      <c r="H206" s="384"/>
      <c r="I206" s="384"/>
      <c r="J206" s="384"/>
      <c r="K206" s="384"/>
      <c r="L206" s="384"/>
      <c r="M206" s="384"/>
      <c r="N206" s="384"/>
      <c r="O206" s="239"/>
      <c r="P206" s="239"/>
      <c r="Q206" s="239"/>
      <c r="R206" s="239"/>
      <c r="S206" s="239"/>
      <c r="T206" s="239"/>
      <c r="U206" s="376"/>
    </row>
    <row r="207" spans="1:21" ht="25.15" hidden="1" customHeight="1" x14ac:dyDescent="0.25">
      <c r="A207" s="381" t="s">
        <v>92</v>
      </c>
      <c r="B207" s="382"/>
      <c r="C207" s="382"/>
      <c r="D207" s="382"/>
      <c r="E207" s="382"/>
      <c r="F207" s="382"/>
      <c r="G207" s="382"/>
      <c r="H207" s="382"/>
      <c r="I207" s="382"/>
      <c r="J207" s="382"/>
      <c r="K207" s="382"/>
      <c r="L207" s="382"/>
      <c r="M207" s="382"/>
      <c r="N207" s="382"/>
      <c r="O207" s="211"/>
      <c r="P207" s="211"/>
      <c r="Q207" s="211"/>
      <c r="R207" s="211"/>
      <c r="S207" s="212"/>
      <c r="T207" s="170"/>
      <c r="U207" s="225"/>
    </row>
    <row r="208" spans="1:21" ht="45" customHeight="1" x14ac:dyDescent="0.25">
      <c r="A208" s="374" t="s">
        <v>119</v>
      </c>
      <c r="B208" s="375"/>
      <c r="C208" s="375"/>
      <c r="D208" s="375"/>
      <c r="E208" s="375"/>
      <c r="F208" s="375"/>
      <c r="G208" s="375"/>
      <c r="H208" s="375"/>
      <c r="I208" s="375"/>
      <c r="J208" s="375"/>
      <c r="K208" s="375"/>
      <c r="L208" s="375"/>
      <c r="M208" s="375"/>
      <c r="N208" s="375"/>
      <c r="O208" s="239"/>
      <c r="P208" s="239"/>
      <c r="Q208" s="239"/>
      <c r="R208" s="239"/>
      <c r="S208" s="239"/>
      <c r="T208" s="239"/>
      <c r="U208" s="376"/>
    </row>
    <row r="209" spans="1:21" ht="49.7" customHeight="1" x14ac:dyDescent="0.25">
      <c r="A209" s="383" t="s">
        <v>120</v>
      </c>
      <c r="B209" s="384"/>
      <c r="C209" s="384"/>
      <c r="D209" s="384"/>
      <c r="E209" s="384"/>
      <c r="F209" s="384"/>
      <c r="G209" s="384"/>
      <c r="H209" s="384"/>
      <c r="I209" s="384"/>
      <c r="J209" s="384"/>
      <c r="K209" s="384"/>
      <c r="L209" s="384"/>
      <c r="M209" s="384"/>
      <c r="N209" s="384"/>
      <c r="O209" s="239"/>
      <c r="P209" s="239"/>
      <c r="Q209" s="239"/>
      <c r="R209" s="239"/>
      <c r="S209" s="239"/>
      <c r="T209" s="239"/>
      <c r="U209" s="376"/>
    </row>
    <row r="210" spans="1:21" ht="25.15" hidden="1" customHeight="1" x14ac:dyDescent="0.25">
      <c r="A210" s="381" t="s">
        <v>92</v>
      </c>
      <c r="B210" s="382"/>
      <c r="C210" s="382"/>
      <c r="D210" s="382"/>
      <c r="E210" s="382"/>
      <c r="F210" s="382"/>
      <c r="G210" s="382"/>
      <c r="H210" s="382"/>
      <c r="I210" s="382"/>
      <c r="J210" s="382"/>
      <c r="K210" s="382"/>
      <c r="L210" s="382"/>
      <c r="M210" s="382"/>
      <c r="N210" s="382"/>
      <c r="O210" s="211"/>
      <c r="P210" s="211"/>
      <c r="Q210" s="211"/>
      <c r="R210" s="211"/>
      <c r="S210" s="212"/>
      <c r="T210" s="170"/>
      <c r="U210" s="225"/>
    </row>
    <row r="211" spans="1:21" ht="45.75" customHeight="1" x14ac:dyDescent="0.25">
      <c r="A211" s="374" t="s">
        <v>21</v>
      </c>
      <c r="B211" s="375"/>
      <c r="C211" s="375"/>
      <c r="D211" s="375"/>
      <c r="E211" s="375"/>
      <c r="F211" s="375"/>
      <c r="G211" s="375"/>
      <c r="H211" s="375"/>
      <c r="I211" s="375"/>
      <c r="J211" s="375"/>
      <c r="K211" s="375"/>
      <c r="L211" s="375"/>
      <c r="M211" s="375"/>
      <c r="N211" s="375"/>
      <c r="O211" s="239"/>
      <c r="P211" s="239"/>
      <c r="Q211" s="239"/>
      <c r="R211" s="239"/>
      <c r="S211" s="239"/>
      <c r="T211" s="239"/>
      <c r="U211" s="376"/>
    </row>
    <row r="212" spans="1:21" ht="39.75" customHeight="1" x14ac:dyDescent="0.25">
      <c r="A212" s="383" t="s">
        <v>93</v>
      </c>
      <c r="B212" s="384"/>
      <c r="C212" s="384"/>
      <c r="D212" s="384"/>
      <c r="E212" s="384"/>
      <c r="F212" s="384"/>
      <c r="G212" s="384"/>
      <c r="H212" s="384"/>
      <c r="I212" s="384"/>
      <c r="J212" s="384"/>
      <c r="K212" s="384"/>
      <c r="L212" s="384"/>
      <c r="M212" s="384"/>
      <c r="N212" s="384"/>
      <c r="O212" s="239"/>
      <c r="P212" s="239"/>
      <c r="Q212" s="239"/>
      <c r="R212" s="239"/>
      <c r="S212" s="239"/>
      <c r="T212" s="239"/>
      <c r="U212" s="376"/>
    </row>
    <row r="213" spans="1:21" ht="29.45" hidden="1" customHeight="1" x14ac:dyDescent="0.25">
      <c r="A213" s="381"/>
      <c r="B213" s="382"/>
      <c r="C213" s="382"/>
      <c r="D213" s="382"/>
      <c r="E213" s="382"/>
      <c r="F213" s="382"/>
      <c r="G213" s="382"/>
      <c r="H213" s="382"/>
      <c r="I213" s="382"/>
      <c r="J213" s="382"/>
      <c r="K213" s="382"/>
      <c r="L213" s="382"/>
      <c r="M213" s="382"/>
      <c r="N213" s="382"/>
      <c r="O213" s="211"/>
      <c r="P213" s="211"/>
      <c r="Q213" s="211"/>
      <c r="R213" s="211"/>
      <c r="S213" s="212"/>
      <c r="T213" s="170"/>
      <c r="U213" s="225"/>
    </row>
    <row r="214" spans="1:21" ht="54" customHeight="1" x14ac:dyDescent="0.25">
      <c r="A214" s="374" t="s">
        <v>24</v>
      </c>
      <c r="B214" s="375"/>
      <c r="C214" s="375"/>
      <c r="D214" s="375"/>
      <c r="E214" s="375"/>
      <c r="F214" s="375"/>
      <c r="G214" s="375"/>
      <c r="H214" s="375"/>
      <c r="I214" s="375"/>
      <c r="J214" s="375"/>
      <c r="K214" s="375"/>
      <c r="L214" s="375"/>
      <c r="M214" s="375"/>
      <c r="N214" s="375"/>
      <c r="O214" s="239"/>
      <c r="P214" s="239"/>
      <c r="Q214" s="239"/>
      <c r="R214" s="239"/>
      <c r="S214" s="239"/>
      <c r="T214" s="239"/>
      <c r="U214" s="376"/>
    </row>
    <row r="215" spans="1:21" ht="118.5" customHeight="1" thickBot="1" x14ac:dyDescent="0.3">
      <c r="A215" s="377" t="s">
        <v>174</v>
      </c>
      <c r="B215" s="378"/>
      <c r="C215" s="378"/>
      <c r="D215" s="378"/>
      <c r="E215" s="378"/>
      <c r="F215" s="378"/>
      <c r="G215" s="378"/>
      <c r="H215" s="378"/>
      <c r="I215" s="378"/>
      <c r="J215" s="378"/>
      <c r="K215" s="378"/>
      <c r="L215" s="378"/>
      <c r="M215" s="378"/>
      <c r="N215" s="378"/>
      <c r="O215" s="378"/>
      <c r="P215" s="378"/>
      <c r="Q215" s="378"/>
      <c r="R215" s="378"/>
      <c r="S215" s="378"/>
      <c r="T215" s="379"/>
      <c r="U215" s="380"/>
    </row>
    <row r="216" spans="1:21" ht="44.45" hidden="1" customHeight="1" x14ac:dyDescent="0.25">
      <c r="A216" s="374" t="s">
        <v>126</v>
      </c>
      <c r="B216" s="382"/>
      <c r="C216" s="382"/>
      <c r="D216" s="382"/>
      <c r="E216" s="382"/>
      <c r="F216" s="382"/>
      <c r="G216" s="382"/>
      <c r="H216" s="382"/>
      <c r="I216" s="382"/>
      <c r="J216" s="382"/>
      <c r="K216" s="382"/>
      <c r="L216" s="382"/>
      <c r="M216" s="382"/>
      <c r="N216" s="382"/>
      <c r="O216" s="215"/>
      <c r="P216" s="215"/>
      <c r="Q216" s="215"/>
      <c r="R216" s="215"/>
      <c r="S216" s="216"/>
      <c r="T216" s="215"/>
      <c r="U216" s="113"/>
    </row>
    <row r="217" spans="1:21" ht="68.45" hidden="1" customHeight="1" x14ac:dyDescent="0.25">
      <c r="A217" s="383" t="s">
        <v>127</v>
      </c>
      <c r="B217" s="382"/>
      <c r="C217" s="382"/>
      <c r="D217" s="382"/>
      <c r="E217" s="382"/>
      <c r="F217" s="382"/>
      <c r="G217" s="382"/>
      <c r="H217" s="382"/>
      <c r="I217" s="382"/>
      <c r="J217" s="382"/>
      <c r="K217" s="382"/>
      <c r="L217" s="382"/>
      <c r="M217" s="382"/>
      <c r="N217" s="382"/>
      <c r="O217" s="382"/>
      <c r="P217" s="382"/>
      <c r="Q217" s="382"/>
      <c r="R217" s="382"/>
      <c r="S217" s="428"/>
      <c r="T217" s="170"/>
      <c r="U217" s="113"/>
    </row>
    <row r="218" spans="1:21" ht="26.45" hidden="1" customHeight="1" thickBot="1" x14ac:dyDescent="0.3">
      <c r="A218" s="432"/>
      <c r="B218" s="433"/>
      <c r="C218" s="433"/>
      <c r="D218" s="433"/>
      <c r="E218" s="433"/>
      <c r="F218" s="433"/>
      <c r="G218" s="433"/>
      <c r="H218" s="433"/>
      <c r="I218" s="433"/>
      <c r="J218" s="433"/>
      <c r="K218" s="433"/>
      <c r="L218" s="433"/>
      <c r="M218" s="433"/>
      <c r="N218" s="433"/>
      <c r="O218" s="217"/>
      <c r="P218" s="217"/>
      <c r="Q218" s="217"/>
      <c r="R218" s="217"/>
      <c r="S218" s="218"/>
      <c r="T218" s="215"/>
      <c r="U218" s="113"/>
    </row>
    <row r="219" spans="1:21" ht="31.35" hidden="1" customHeight="1" x14ac:dyDescent="0.25">
      <c r="A219" s="390" t="s">
        <v>116</v>
      </c>
      <c r="B219" s="391"/>
      <c r="C219" s="391"/>
      <c r="D219" s="391"/>
      <c r="E219" s="391"/>
      <c r="F219" s="391"/>
      <c r="G219" s="391"/>
      <c r="H219" s="391"/>
      <c r="I219" s="391"/>
      <c r="J219" s="391"/>
      <c r="K219" s="391"/>
      <c r="L219" s="391"/>
      <c r="M219" s="391"/>
      <c r="N219" s="391"/>
      <c r="O219" s="110"/>
      <c r="P219" s="110"/>
      <c r="Q219" s="110"/>
      <c r="R219" s="110"/>
      <c r="S219" s="166"/>
      <c r="T219" s="110"/>
      <c r="U219" s="15"/>
    </row>
    <row r="220" spans="1:21" ht="65.25" hidden="1" customHeight="1" thickBot="1" x14ac:dyDescent="0.3">
      <c r="A220" s="392" t="s">
        <v>115</v>
      </c>
      <c r="B220" s="393"/>
      <c r="C220" s="393"/>
      <c r="D220" s="393"/>
      <c r="E220" s="393"/>
      <c r="F220" s="393"/>
      <c r="G220" s="393"/>
      <c r="H220" s="393"/>
      <c r="I220" s="393"/>
      <c r="J220" s="393"/>
      <c r="K220" s="393"/>
      <c r="L220" s="393"/>
      <c r="M220" s="393"/>
      <c r="N220" s="393"/>
      <c r="O220" s="167"/>
      <c r="P220" s="167"/>
      <c r="Q220" s="167"/>
      <c r="R220" s="167"/>
      <c r="S220" s="168"/>
      <c r="T220" s="222"/>
      <c r="U220" s="69"/>
    </row>
    <row r="221" spans="1:21" ht="70.5" hidden="1" thickBot="1" x14ac:dyDescent="0.3">
      <c r="A221" s="149" t="s">
        <v>45</v>
      </c>
      <c r="B221" s="199"/>
      <c r="C221" s="70"/>
      <c r="D221" s="69"/>
      <c r="E221" s="434"/>
      <c r="F221" s="435"/>
      <c r="G221" s="154" t="s">
        <v>123</v>
      </c>
      <c r="H221" s="436"/>
      <c r="I221" s="437"/>
      <c r="J221" s="437"/>
      <c r="K221" s="437"/>
      <c r="L221" s="437"/>
      <c r="M221" s="437"/>
      <c r="N221" s="437"/>
      <c r="O221" s="70"/>
      <c r="P221" s="70"/>
      <c r="Q221" s="70"/>
      <c r="R221" s="70"/>
      <c r="S221" s="70"/>
      <c r="T221" s="70"/>
      <c r="U221" s="69"/>
    </row>
    <row r="222" spans="1:21" ht="34.5" hidden="1" thickBot="1" x14ac:dyDescent="0.3">
      <c r="A222" s="153"/>
      <c r="B222" s="2"/>
      <c r="C222" s="70"/>
      <c r="D222" s="69"/>
      <c r="E222" s="151"/>
      <c r="F222" s="155"/>
      <c r="G222" s="152" t="s">
        <v>121</v>
      </c>
      <c r="H222" s="156"/>
      <c r="I222" s="157"/>
      <c r="J222" s="157"/>
      <c r="K222" s="157"/>
      <c r="L222" s="157"/>
      <c r="M222" s="157"/>
      <c r="N222" s="157"/>
      <c r="O222" s="70"/>
      <c r="P222" s="70"/>
      <c r="Q222" s="70"/>
      <c r="R222" s="70"/>
      <c r="S222" s="70"/>
      <c r="T222" s="70"/>
      <c r="U222" s="69"/>
    </row>
    <row r="223" spans="1:21" ht="82.15" hidden="1" customHeight="1" x14ac:dyDescent="0.25">
      <c r="A223" s="153"/>
      <c r="B223" s="2"/>
      <c r="C223" s="70"/>
      <c r="D223" s="69"/>
      <c r="E223" s="151"/>
      <c r="F223" s="155"/>
      <c r="G223" s="430" t="s">
        <v>122</v>
      </c>
      <c r="H223" s="156"/>
      <c r="I223" s="157"/>
      <c r="J223" s="157"/>
      <c r="K223" s="157"/>
      <c r="L223" s="157"/>
      <c r="M223" s="157"/>
      <c r="N223" s="157"/>
      <c r="O223" s="70"/>
      <c r="P223" s="70"/>
      <c r="Q223" s="70"/>
      <c r="R223" s="70"/>
      <c r="S223" s="70"/>
      <c r="T223" s="70"/>
      <c r="U223" s="69"/>
    </row>
    <row r="224" spans="1:21" ht="34.5" hidden="1" thickBot="1" x14ac:dyDescent="0.3">
      <c r="A224" s="153"/>
      <c r="B224" s="2"/>
      <c r="C224" s="70"/>
      <c r="D224" s="69"/>
      <c r="E224" s="151"/>
      <c r="F224" s="155"/>
      <c r="G224" s="431"/>
      <c r="H224" s="156"/>
      <c r="I224" s="157"/>
      <c r="J224" s="157"/>
      <c r="K224" s="157"/>
      <c r="L224" s="157"/>
      <c r="M224" s="157"/>
      <c r="N224" s="157"/>
      <c r="O224" s="70"/>
      <c r="P224" s="70"/>
      <c r="Q224" s="70"/>
      <c r="R224" s="70"/>
      <c r="S224" s="70"/>
      <c r="T224" s="70"/>
      <c r="U224" s="69"/>
    </row>
    <row r="225" spans="1:21" ht="23.25" hidden="1" x14ac:dyDescent="0.25">
      <c r="A225" s="8"/>
      <c r="B225" s="8"/>
      <c r="C225" s="6"/>
      <c r="D225" s="8"/>
      <c r="E225" s="8"/>
      <c r="F225" s="6"/>
      <c r="G225" s="6"/>
      <c r="H225" s="6"/>
      <c r="I225" s="6"/>
      <c r="J225" s="6"/>
      <c r="K225" s="6"/>
      <c r="L225" s="6"/>
      <c r="M225" s="6"/>
      <c r="N225" s="67"/>
      <c r="O225" s="67"/>
      <c r="P225" s="6"/>
      <c r="Q225" s="6"/>
      <c r="R225" s="6"/>
      <c r="S225" s="6"/>
      <c r="T225" s="6"/>
      <c r="U225" s="8"/>
    </row>
    <row r="226" spans="1:21" ht="46.9" hidden="1" customHeight="1" thickBot="1" x14ac:dyDescent="0.3">
      <c r="A226" s="350" t="s">
        <v>44</v>
      </c>
      <c r="B226" s="351"/>
      <c r="C226" s="351"/>
      <c r="D226" s="351"/>
      <c r="E226" s="351"/>
      <c r="F226" s="351"/>
      <c r="G226" s="351"/>
      <c r="H226" s="351"/>
      <c r="I226" s="351"/>
      <c r="J226" s="351"/>
      <c r="K226" s="351"/>
      <c r="L226" s="351"/>
      <c r="M226" s="351"/>
      <c r="N226" s="351"/>
      <c r="O226" s="351"/>
      <c r="P226" s="351"/>
      <c r="Q226" s="351"/>
      <c r="R226" s="351"/>
      <c r="S226" s="351"/>
      <c r="T226" s="351"/>
      <c r="U226" s="429"/>
    </row>
    <row r="227" spans="1:21" s="109" customFormat="1" ht="46.9" hidden="1" customHeight="1" x14ac:dyDescent="0.25">
      <c r="A227" s="352">
        <v>1</v>
      </c>
      <c r="B227" s="317"/>
      <c r="C227" s="317"/>
      <c r="D227" s="317"/>
      <c r="E227" s="317"/>
      <c r="F227" s="317"/>
      <c r="G227" s="317"/>
      <c r="H227" s="317"/>
      <c r="I227" s="317"/>
      <c r="J227" s="317"/>
      <c r="K227" s="317"/>
      <c r="L227" s="317"/>
      <c r="M227" s="317"/>
      <c r="N227" s="317"/>
      <c r="O227" s="317"/>
      <c r="P227" s="317"/>
      <c r="Q227" s="317"/>
      <c r="R227" s="317"/>
      <c r="S227" s="317"/>
      <c r="T227" s="317"/>
      <c r="U227" s="317"/>
    </row>
    <row r="228" spans="1:21" ht="46.9" hidden="1" customHeight="1" x14ac:dyDescent="0.25">
      <c r="A228" s="352">
        <v>2</v>
      </c>
      <c r="B228" s="317"/>
      <c r="C228" s="317"/>
      <c r="D228" s="317"/>
      <c r="E228" s="317"/>
      <c r="F228" s="317"/>
      <c r="G228" s="317"/>
      <c r="H228" s="317"/>
      <c r="I228" s="317"/>
      <c r="J228" s="317"/>
      <c r="K228" s="317"/>
      <c r="L228" s="317"/>
      <c r="M228" s="317"/>
      <c r="N228" s="317"/>
      <c r="O228" s="317"/>
      <c r="P228" s="317"/>
      <c r="Q228" s="317"/>
      <c r="R228" s="317"/>
      <c r="S228" s="317"/>
      <c r="T228" s="317"/>
      <c r="U228" s="317"/>
    </row>
    <row r="229" spans="1:21" s="111" customFormat="1" ht="46.9" hidden="1" customHeight="1" thickBot="1" x14ac:dyDescent="0.3">
      <c r="A229" s="354">
        <v>3</v>
      </c>
      <c r="B229" s="355"/>
      <c r="C229" s="355"/>
      <c r="D229" s="355"/>
      <c r="E229" s="355"/>
      <c r="F229" s="355"/>
      <c r="G229" s="355"/>
      <c r="H229" s="355"/>
      <c r="I229" s="355"/>
      <c r="J229" s="355"/>
      <c r="K229" s="355"/>
      <c r="L229" s="355"/>
      <c r="M229" s="355"/>
      <c r="N229" s="355"/>
      <c r="O229" s="355"/>
      <c r="P229" s="355"/>
      <c r="Q229" s="355"/>
      <c r="R229" s="355"/>
      <c r="S229" s="355"/>
      <c r="T229" s="355"/>
      <c r="U229" s="355"/>
    </row>
    <row r="230" spans="1:21" ht="28.5" hidden="1" customHeight="1" thickBot="1" x14ac:dyDescent="0.3"/>
    <row r="231" spans="1:21" ht="49.35" hidden="1" customHeight="1" thickBot="1" x14ac:dyDescent="0.3">
      <c r="A231" s="357" t="s">
        <v>95</v>
      </c>
      <c r="B231" s="358"/>
      <c r="C231" s="358"/>
      <c r="D231" s="358"/>
      <c r="E231" s="358"/>
      <c r="F231" s="358"/>
      <c r="G231" s="358"/>
      <c r="H231" s="358"/>
      <c r="I231" s="358"/>
      <c r="J231" s="358"/>
      <c r="K231" s="358"/>
      <c r="L231" s="358"/>
      <c r="M231" s="358"/>
      <c r="N231" s="358"/>
      <c r="O231" s="358"/>
      <c r="P231" s="358"/>
      <c r="Q231" s="358"/>
      <c r="R231" s="358"/>
      <c r="S231" s="358"/>
      <c r="T231" s="358"/>
      <c r="U231" s="359"/>
    </row>
    <row r="232" spans="1:21" ht="46.9" hidden="1" customHeight="1" thickBot="1" x14ac:dyDescent="0.3">
      <c r="A232" s="357">
        <v>1</v>
      </c>
      <c r="B232" s="358"/>
      <c r="C232" s="358"/>
      <c r="D232" s="358"/>
      <c r="E232" s="358"/>
      <c r="F232" s="358"/>
      <c r="G232" s="358"/>
      <c r="H232" s="358"/>
      <c r="I232" s="358"/>
      <c r="J232" s="358"/>
      <c r="K232" s="358"/>
      <c r="L232" s="358"/>
      <c r="M232" s="358"/>
      <c r="N232" s="358"/>
      <c r="O232" s="358"/>
      <c r="P232" s="358"/>
      <c r="Q232" s="358"/>
      <c r="R232" s="358"/>
      <c r="S232" s="358"/>
      <c r="T232" s="358"/>
      <c r="U232" s="359"/>
    </row>
    <row r="233" spans="1:21" s="109" customFormat="1" ht="46.9" hidden="1" customHeight="1" x14ac:dyDescent="0.25">
      <c r="A233" s="352">
        <v>2</v>
      </c>
      <c r="B233" s="317"/>
      <c r="C233" s="317"/>
      <c r="D233" s="317"/>
      <c r="E233" s="317"/>
      <c r="F233" s="317"/>
      <c r="G233" s="317"/>
      <c r="H233" s="317"/>
      <c r="I233" s="317"/>
      <c r="J233" s="317"/>
      <c r="K233" s="317"/>
      <c r="L233" s="317"/>
      <c r="M233" s="317"/>
      <c r="N233" s="317"/>
      <c r="O233" s="317"/>
      <c r="P233" s="317"/>
      <c r="Q233" s="317"/>
      <c r="R233" s="317"/>
      <c r="S233" s="317"/>
      <c r="T233" s="317"/>
      <c r="U233" s="353"/>
    </row>
    <row r="234" spans="1:21" ht="46.9" hidden="1" customHeight="1" x14ac:dyDescent="0.25">
      <c r="A234" s="352">
        <v>3</v>
      </c>
      <c r="B234" s="317"/>
      <c r="C234" s="317"/>
      <c r="D234" s="317"/>
      <c r="E234" s="317"/>
      <c r="F234" s="317"/>
      <c r="G234" s="317"/>
      <c r="H234" s="317"/>
      <c r="I234" s="317"/>
      <c r="J234" s="317"/>
      <c r="K234" s="317"/>
      <c r="L234" s="317"/>
      <c r="M234" s="317"/>
      <c r="N234" s="317"/>
      <c r="O234" s="317"/>
      <c r="P234" s="317"/>
      <c r="Q234" s="317"/>
      <c r="R234" s="317"/>
      <c r="S234" s="317"/>
      <c r="T234" s="317"/>
      <c r="U234" s="353"/>
    </row>
    <row r="235" spans="1:21" s="111" customFormat="1" ht="46.9" hidden="1" customHeight="1" thickBot="1" x14ac:dyDescent="0.3">
      <c r="A235" s="352">
        <v>4</v>
      </c>
      <c r="B235" s="317"/>
      <c r="C235" s="317"/>
      <c r="D235" s="317"/>
      <c r="E235" s="317"/>
      <c r="F235" s="317"/>
      <c r="G235" s="317"/>
      <c r="H235" s="317"/>
      <c r="I235" s="317"/>
      <c r="J235" s="317"/>
      <c r="K235" s="317"/>
      <c r="L235" s="317"/>
      <c r="M235" s="317"/>
      <c r="N235" s="317"/>
      <c r="O235" s="317"/>
      <c r="P235" s="317"/>
      <c r="Q235" s="317"/>
      <c r="R235" s="317"/>
      <c r="S235" s="317"/>
      <c r="T235" s="317"/>
      <c r="U235" s="353"/>
    </row>
    <row r="236" spans="1:21" ht="46.9" hidden="1" customHeight="1" x14ac:dyDescent="0.25">
      <c r="A236" s="352">
        <v>5</v>
      </c>
      <c r="B236" s="317"/>
      <c r="C236" s="317"/>
      <c r="D236" s="317"/>
      <c r="E236" s="317"/>
      <c r="F236" s="317"/>
      <c r="G236" s="317"/>
      <c r="H236" s="317"/>
      <c r="I236" s="317"/>
      <c r="J236" s="317"/>
      <c r="K236" s="317"/>
      <c r="L236" s="317"/>
      <c r="M236" s="317"/>
      <c r="N236" s="317"/>
      <c r="O236" s="317"/>
      <c r="P236" s="317"/>
      <c r="Q236" s="317"/>
      <c r="R236" s="317"/>
      <c r="S236" s="317"/>
      <c r="T236" s="317"/>
      <c r="U236" s="353"/>
    </row>
    <row r="237" spans="1:21" s="111" customFormat="1" ht="46.9" hidden="1" customHeight="1" thickBot="1" x14ac:dyDescent="0.3">
      <c r="A237" s="354">
        <v>6</v>
      </c>
      <c r="B237" s="355"/>
      <c r="C237" s="355"/>
      <c r="D237" s="355"/>
      <c r="E237" s="355"/>
      <c r="F237" s="355"/>
      <c r="G237" s="355"/>
      <c r="H237" s="355"/>
      <c r="I237" s="355"/>
      <c r="J237" s="355"/>
      <c r="K237" s="355"/>
      <c r="L237" s="355"/>
      <c r="M237" s="355"/>
      <c r="N237" s="355"/>
      <c r="O237" s="355"/>
      <c r="P237" s="355"/>
      <c r="Q237" s="355"/>
      <c r="R237" s="355"/>
      <c r="S237" s="355"/>
      <c r="T237" s="355"/>
      <c r="U237" s="356"/>
    </row>
    <row r="238" spans="1:21" hidden="1" x14ac:dyDescent="0.25"/>
    <row r="239" spans="1:21" ht="45.75" hidden="1" customHeight="1" thickBot="1" x14ac:dyDescent="0.3">
      <c r="A239" s="357" t="s">
        <v>42</v>
      </c>
      <c r="B239" s="358"/>
      <c r="C239" s="358"/>
      <c r="D239" s="358"/>
      <c r="E239" s="358"/>
      <c r="F239" s="358"/>
      <c r="G239" s="358"/>
      <c r="H239" s="358"/>
      <c r="I239" s="358"/>
      <c r="J239" s="358"/>
      <c r="K239" s="358"/>
      <c r="L239" s="358"/>
      <c r="M239" s="358"/>
      <c r="N239" s="358"/>
      <c r="O239" s="358"/>
      <c r="P239" s="358"/>
      <c r="Q239" s="358"/>
      <c r="R239" s="358"/>
      <c r="S239" s="358"/>
      <c r="T239" s="358"/>
      <c r="U239" s="359"/>
    </row>
    <row r="240" spans="1:21" ht="46.9" hidden="1" customHeight="1" thickBot="1" x14ac:dyDescent="0.3">
      <c r="A240" s="357">
        <v>1</v>
      </c>
      <c r="B240" s="358"/>
      <c r="C240" s="358"/>
      <c r="D240" s="358"/>
      <c r="E240" s="358"/>
      <c r="F240" s="358"/>
      <c r="G240" s="358"/>
      <c r="H240" s="358"/>
      <c r="I240" s="358"/>
      <c r="J240" s="358"/>
      <c r="K240" s="358"/>
      <c r="L240" s="358"/>
      <c r="M240" s="358"/>
      <c r="N240" s="358"/>
      <c r="O240" s="358"/>
      <c r="P240" s="358"/>
      <c r="Q240" s="358"/>
      <c r="R240" s="358"/>
      <c r="S240" s="358"/>
      <c r="T240" s="358"/>
      <c r="U240" s="359"/>
    </row>
    <row r="241" spans="1:21" s="109" customFormat="1" ht="46.9" hidden="1" customHeight="1" x14ac:dyDescent="0.25">
      <c r="A241" s="352">
        <v>2</v>
      </c>
      <c r="B241" s="317"/>
      <c r="C241" s="317"/>
      <c r="D241" s="317"/>
      <c r="E241" s="317"/>
      <c r="F241" s="317"/>
      <c r="G241" s="317"/>
      <c r="H241" s="317"/>
      <c r="I241" s="317"/>
      <c r="J241" s="317"/>
      <c r="K241" s="317"/>
      <c r="L241" s="317"/>
      <c r="M241" s="317"/>
      <c r="N241" s="317"/>
      <c r="O241" s="317"/>
      <c r="P241" s="317"/>
      <c r="Q241" s="317"/>
      <c r="R241" s="317"/>
      <c r="S241" s="317"/>
      <c r="T241" s="317"/>
      <c r="U241" s="353"/>
    </row>
    <row r="242" spans="1:21" ht="46.9" hidden="1" customHeight="1" x14ac:dyDescent="0.25">
      <c r="A242" s="352">
        <v>3</v>
      </c>
      <c r="B242" s="317"/>
      <c r="C242" s="317"/>
      <c r="D242" s="317"/>
      <c r="E242" s="317"/>
      <c r="F242" s="317"/>
      <c r="G242" s="317"/>
      <c r="H242" s="317"/>
      <c r="I242" s="317"/>
      <c r="J242" s="317"/>
      <c r="K242" s="317"/>
      <c r="L242" s="317"/>
      <c r="M242" s="317"/>
      <c r="N242" s="317"/>
      <c r="O242" s="317"/>
      <c r="P242" s="317"/>
      <c r="Q242" s="317"/>
      <c r="R242" s="317"/>
      <c r="S242" s="317"/>
      <c r="T242" s="317"/>
      <c r="U242" s="353"/>
    </row>
    <row r="243" spans="1:21" s="111" customFormat="1" ht="46.9" hidden="1" customHeight="1" thickBot="1" x14ac:dyDescent="0.3">
      <c r="A243" s="352">
        <v>4</v>
      </c>
      <c r="B243" s="317"/>
      <c r="C243" s="317"/>
      <c r="D243" s="317"/>
      <c r="E243" s="317"/>
      <c r="F243" s="317"/>
      <c r="G243" s="317"/>
      <c r="H243" s="317"/>
      <c r="I243" s="317"/>
      <c r="J243" s="317"/>
      <c r="K243" s="317"/>
      <c r="L243" s="317"/>
      <c r="M243" s="317"/>
      <c r="N243" s="317"/>
      <c r="O243" s="317"/>
      <c r="P243" s="317"/>
      <c r="Q243" s="317"/>
      <c r="R243" s="317"/>
      <c r="S243" s="317"/>
      <c r="T243" s="317"/>
      <c r="U243" s="353"/>
    </row>
    <row r="244" spans="1:21" ht="15" hidden="1" customHeight="1" x14ac:dyDescent="0.25">
      <c r="A244" s="352">
        <v>5</v>
      </c>
      <c r="B244" s="317"/>
      <c r="C244" s="317"/>
      <c r="D244" s="317"/>
      <c r="E244" s="317"/>
      <c r="F244" s="317"/>
      <c r="G244" s="317"/>
      <c r="H244" s="317"/>
      <c r="I244" s="317"/>
      <c r="J244" s="317"/>
      <c r="K244" s="317"/>
      <c r="L244" s="317"/>
      <c r="M244" s="317"/>
      <c r="N244" s="317"/>
      <c r="O244" s="317"/>
      <c r="P244" s="317"/>
      <c r="Q244" s="317"/>
      <c r="R244" s="317"/>
      <c r="S244" s="317"/>
      <c r="T244" s="317"/>
      <c r="U244" s="353"/>
    </row>
    <row r="245" spans="1:21" s="111" customFormat="1" ht="46.9" customHeight="1" thickBot="1" x14ac:dyDescent="0.3">
      <c r="A245" s="354">
        <v>6</v>
      </c>
      <c r="B245" s="355"/>
      <c r="C245" s="355"/>
      <c r="D245" s="355"/>
      <c r="E245" s="355"/>
      <c r="F245" s="355"/>
      <c r="G245" s="355"/>
      <c r="H245" s="355"/>
      <c r="I245" s="355"/>
      <c r="J245" s="355"/>
      <c r="K245" s="355"/>
      <c r="L245" s="355"/>
      <c r="M245" s="355"/>
      <c r="N245" s="355"/>
      <c r="O245" s="355"/>
      <c r="P245" s="355"/>
      <c r="Q245" s="355"/>
      <c r="R245" s="355"/>
      <c r="S245" s="355"/>
      <c r="T245" s="355"/>
      <c r="U245" s="356"/>
    </row>
    <row r="246" spans="1:21" ht="19.5" hidden="1" thickBot="1" x14ac:dyDescent="0.3"/>
    <row r="247" spans="1:21" ht="64.150000000000006" hidden="1" customHeight="1" thickBot="1" x14ac:dyDescent="0.3">
      <c r="A247" s="350" t="s">
        <v>108</v>
      </c>
      <c r="B247" s="351"/>
      <c r="C247" s="351"/>
      <c r="D247" s="351"/>
      <c r="E247" s="351"/>
      <c r="F247" s="351"/>
      <c r="G247" s="351"/>
      <c r="H247" s="351"/>
      <c r="I247" s="351"/>
      <c r="J247" s="351"/>
      <c r="K247" s="1"/>
      <c r="L247" s="1"/>
      <c r="M247" s="1"/>
      <c r="N247" s="1"/>
      <c r="O247" s="1"/>
      <c r="P247" s="1"/>
      <c r="Q247" s="1"/>
      <c r="R247" s="1"/>
      <c r="S247" s="1"/>
      <c r="T247" s="1"/>
      <c r="U247" s="1"/>
    </row>
    <row r="248" spans="1:21" ht="108.75" customHeight="1" thickBot="1" x14ac:dyDescent="0.3">
      <c r="A248" s="200" t="s">
        <v>96</v>
      </c>
      <c r="B248" s="394"/>
      <c r="C248" s="395"/>
      <c r="D248" s="115" t="s">
        <v>107</v>
      </c>
      <c r="E248" s="396" t="s">
        <v>97</v>
      </c>
      <c r="F248" s="397"/>
      <c r="G248" s="397"/>
      <c r="H248" s="115" t="s">
        <v>107</v>
      </c>
      <c r="I248" s="396" t="s">
        <v>100</v>
      </c>
      <c r="J248" s="398"/>
      <c r="K248" s="68"/>
      <c r="L248" s="68"/>
      <c r="M248" s="68"/>
      <c r="P248" s="68"/>
      <c r="Q248" s="68"/>
      <c r="R248" s="68"/>
      <c r="S248" s="68"/>
      <c r="T248" s="68"/>
      <c r="U248" s="112"/>
    </row>
    <row r="249" spans="1:21" ht="108.75" hidden="1" customHeight="1" thickBot="1" x14ac:dyDescent="0.3">
      <c r="A249" s="200" t="s">
        <v>99</v>
      </c>
      <c r="B249" s="385"/>
      <c r="C249" s="386"/>
      <c r="D249" s="115" t="s">
        <v>107</v>
      </c>
      <c r="E249" s="387" t="s">
        <v>98</v>
      </c>
      <c r="F249" s="388"/>
      <c r="G249" s="388"/>
      <c r="H249" s="115" t="s">
        <v>107</v>
      </c>
      <c r="I249" s="387" t="s">
        <v>98</v>
      </c>
      <c r="J249" s="389"/>
      <c r="K249" s="68"/>
      <c r="L249" s="68"/>
      <c r="M249" s="68"/>
      <c r="P249" s="68"/>
      <c r="Q249" s="68"/>
      <c r="R249" s="68"/>
      <c r="S249" s="68"/>
      <c r="T249" s="68"/>
      <c r="U249" s="112"/>
    </row>
  </sheetData>
  <mergeCells count="127">
    <mergeCell ref="A125:J125"/>
    <mergeCell ref="A126:J126"/>
    <mergeCell ref="A127:J127"/>
    <mergeCell ref="A128:J128"/>
    <mergeCell ref="A130:U130"/>
    <mergeCell ref="A131:U131"/>
    <mergeCell ref="A132:U132"/>
    <mergeCell ref="A204:U204"/>
    <mergeCell ref="A205:U205"/>
    <mergeCell ref="A200:N200"/>
    <mergeCell ref="E221:F221"/>
    <mergeCell ref="H221:N221"/>
    <mergeCell ref="A211:U211"/>
    <mergeCell ref="A212:U212"/>
    <mergeCell ref="A192:U192"/>
    <mergeCell ref="A193:U193"/>
    <mergeCell ref="A194:U194"/>
    <mergeCell ref="A195:U195"/>
    <mergeCell ref="A196:U196"/>
    <mergeCell ref="A197:U197"/>
    <mergeCell ref="A198:U198"/>
    <mergeCell ref="A199:U199"/>
    <mergeCell ref="A201:U201"/>
    <mergeCell ref="A202:U202"/>
    <mergeCell ref="A203:U203"/>
    <mergeCell ref="A150:M150"/>
    <mergeCell ref="A151:M151"/>
    <mergeCell ref="A152:M152"/>
    <mergeCell ref="A153:M153"/>
    <mergeCell ref="A154:M154"/>
    <mergeCell ref="A190:U190"/>
    <mergeCell ref="A176:U176"/>
    <mergeCell ref="A158:U159"/>
    <mergeCell ref="A160:U160"/>
    <mergeCell ref="A161:U161"/>
    <mergeCell ref="A162:U162"/>
    <mergeCell ref="A189:U189"/>
    <mergeCell ref="A156:M156"/>
    <mergeCell ref="A169:U169"/>
    <mergeCell ref="A185:U185"/>
    <mergeCell ref="A170:U170"/>
    <mergeCell ref="A171:U171"/>
    <mergeCell ref="A172:U172"/>
    <mergeCell ref="A173:U173"/>
    <mergeCell ref="A174:U174"/>
    <mergeCell ref="A175:U175"/>
    <mergeCell ref="A165:U165"/>
    <mergeCell ref="A166:U166"/>
    <mergeCell ref="A167:U167"/>
    <mergeCell ref="A168:U168"/>
    <mergeCell ref="A186:U186"/>
    <mergeCell ref="A187:U187"/>
    <mergeCell ref="A188:U188"/>
    <mergeCell ref="A163:U163"/>
    <mergeCell ref="A155:M155"/>
    <mergeCell ref="B249:C249"/>
    <mergeCell ref="E249:G249"/>
    <mergeCell ref="I249:J249"/>
    <mergeCell ref="A228:U228"/>
    <mergeCell ref="A227:U227"/>
    <mergeCell ref="A232:U232"/>
    <mergeCell ref="A233:U233"/>
    <mergeCell ref="A213:N213"/>
    <mergeCell ref="A219:N219"/>
    <mergeCell ref="A220:N220"/>
    <mergeCell ref="A234:U234"/>
    <mergeCell ref="A235:U235"/>
    <mergeCell ref="A231:U231"/>
    <mergeCell ref="B248:C248"/>
    <mergeCell ref="E248:G248"/>
    <mergeCell ref="I248:J248"/>
    <mergeCell ref="A239:U239"/>
    <mergeCell ref="A237:U237"/>
    <mergeCell ref="A229:U229"/>
    <mergeCell ref="A216:N216"/>
    <mergeCell ref="A217:S217"/>
    <mergeCell ref="A226:U226"/>
    <mergeCell ref="G223:G224"/>
    <mergeCell ref="A218:N218"/>
    <mergeCell ref="W1:AC1"/>
    <mergeCell ref="A133:U133"/>
    <mergeCell ref="A149:M149"/>
    <mergeCell ref="A140:M140"/>
    <mergeCell ref="A141:M141"/>
    <mergeCell ref="A142:M142"/>
    <mergeCell ref="A143:M143"/>
    <mergeCell ref="A144:M144"/>
    <mergeCell ref="A145:M145"/>
    <mergeCell ref="X9:AA9"/>
    <mergeCell ref="A148:M148"/>
    <mergeCell ref="A146:M146"/>
    <mergeCell ref="A7:H7"/>
    <mergeCell ref="A10:H10"/>
    <mergeCell ref="A12:H12"/>
    <mergeCell ref="A19:H19"/>
    <mergeCell ref="A147:M147"/>
    <mergeCell ref="A139:M139"/>
    <mergeCell ref="S1:U1"/>
    <mergeCell ref="A6:H6"/>
    <mergeCell ref="A3:U3"/>
    <mergeCell ref="A122:J122"/>
    <mergeCell ref="A123:J123"/>
    <mergeCell ref="A124:J124"/>
    <mergeCell ref="A1:C1"/>
    <mergeCell ref="D1:M1"/>
    <mergeCell ref="A8:H8"/>
    <mergeCell ref="A9:H9"/>
    <mergeCell ref="A14:U14"/>
    <mergeCell ref="A16:U16"/>
    <mergeCell ref="A18:U18"/>
    <mergeCell ref="A5:H5"/>
    <mergeCell ref="A247:J247"/>
    <mergeCell ref="A241:U241"/>
    <mergeCell ref="A242:U242"/>
    <mergeCell ref="A243:U243"/>
    <mergeCell ref="A244:U244"/>
    <mergeCell ref="A245:U245"/>
    <mergeCell ref="A236:U236"/>
    <mergeCell ref="A240:U240"/>
    <mergeCell ref="A214:U214"/>
    <mergeCell ref="A215:U215"/>
    <mergeCell ref="A207:N207"/>
    <mergeCell ref="A210:N210"/>
    <mergeCell ref="A206:U206"/>
    <mergeCell ref="A208:U208"/>
    <mergeCell ref="A209:U209"/>
    <mergeCell ref="A191:U191"/>
  </mergeCells>
  <conditionalFormatting sqref="S22:T70 S79:T84 S86:T86 S92:T92 S94:T121">
    <cfRule type="notContainsBlanks" dxfId="39" priority="20">
      <formula>LEN(TRIM(S22))&gt;0</formula>
    </cfRule>
  </conditionalFormatting>
  <conditionalFormatting sqref="S76:T78">
    <cfRule type="notContainsBlanks" dxfId="38" priority="19">
      <formula>LEN(TRIM(S76))&gt;0</formula>
    </cfRule>
  </conditionalFormatting>
  <conditionalFormatting sqref="S85:T85">
    <cfRule type="notContainsBlanks" dxfId="37" priority="18">
      <formula>LEN(TRIM(S85))&gt;0</formula>
    </cfRule>
  </conditionalFormatting>
  <conditionalFormatting sqref="S87:T87">
    <cfRule type="notContainsBlanks" dxfId="36" priority="17">
      <formula>LEN(TRIM(S87))&gt;0</formula>
    </cfRule>
  </conditionalFormatting>
  <conditionalFormatting sqref="S88:T88">
    <cfRule type="notContainsBlanks" dxfId="35" priority="16">
      <formula>LEN(TRIM(S88))&gt;0</formula>
    </cfRule>
  </conditionalFormatting>
  <conditionalFormatting sqref="S89:T89">
    <cfRule type="notContainsBlanks" dxfId="34" priority="15">
      <formula>LEN(TRIM(S89))&gt;0</formula>
    </cfRule>
  </conditionalFormatting>
  <conditionalFormatting sqref="S90:T90">
    <cfRule type="notContainsBlanks" dxfId="33" priority="14">
      <formula>LEN(TRIM(S90))&gt;0</formula>
    </cfRule>
  </conditionalFormatting>
  <conditionalFormatting sqref="S91:T91">
    <cfRule type="notContainsBlanks" dxfId="32" priority="13">
      <formula>LEN(TRIM(S91))&gt;0</formula>
    </cfRule>
  </conditionalFormatting>
  <conditionalFormatting sqref="S93:T93">
    <cfRule type="notContainsBlanks" dxfId="31" priority="12">
      <formula>LEN(TRIM(S93))&gt;0</formula>
    </cfRule>
  </conditionalFormatting>
  <conditionalFormatting sqref="S22:T70 S76:T121">
    <cfRule type="notContainsBlanks" dxfId="30" priority="11">
      <formula>LEN(TRIM(S22))&gt;0</formula>
    </cfRule>
  </conditionalFormatting>
  <conditionalFormatting sqref="S71:T71">
    <cfRule type="notContainsBlanks" dxfId="29" priority="10">
      <formula>LEN(TRIM(S71))&gt;0</formula>
    </cfRule>
  </conditionalFormatting>
  <conditionalFormatting sqref="S71:T71">
    <cfRule type="notContainsBlanks" dxfId="28" priority="9">
      <formula>LEN(TRIM(S71))&gt;0</formula>
    </cfRule>
  </conditionalFormatting>
  <conditionalFormatting sqref="S72:T72">
    <cfRule type="notContainsBlanks" dxfId="27" priority="8">
      <formula>LEN(TRIM(S72))&gt;0</formula>
    </cfRule>
  </conditionalFormatting>
  <conditionalFormatting sqref="S72:T72">
    <cfRule type="notContainsBlanks" dxfId="26" priority="7">
      <formula>LEN(TRIM(S72))&gt;0</formula>
    </cfRule>
  </conditionalFormatting>
  <conditionalFormatting sqref="S73:T73">
    <cfRule type="notContainsBlanks" dxfId="25" priority="6">
      <formula>LEN(TRIM(S73))&gt;0</formula>
    </cfRule>
  </conditionalFormatting>
  <conditionalFormatting sqref="S73:T73">
    <cfRule type="notContainsBlanks" dxfId="24" priority="5">
      <formula>LEN(TRIM(S73))&gt;0</formula>
    </cfRule>
  </conditionalFormatting>
  <conditionalFormatting sqref="S74:T74">
    <cfRule type="notContainsBlanks" dxfId="23" priority="4">
      <formula>LEN(TRIM(S74))&gt;0</formula>
    </cfRule>
  </conditionalFormatting>
  <conditionalFormatting sqref="S74:T74">
    <cfRule type="notContainsBlanks" dxfId="22" priority="3">
      <formula>LEN(TRIM(S74))&gt;0</formula>
    </cfRule>
  </conditionalFormatting>
  <conditionalFormatting sqref="S75:T75">
    <cfRule type="notContainsBlanks" dxfId="21" priority="2">
      <formula>LEN(TRIM(S75))&gt;0</formula>
    </cfRule>
  </conditionalFormatting>
  <conditionalFormatting sqref="S75:T75">
    <cfRule type="notContainsBlanks" dxfId="20" priority="1">
      <formula>LEN(TRIM(S75))&gt;0</formula>
    </cfRule>
  </conditionalFormatting>
  <dataValidations count="2">
    <dataValidation type="list" allowBlank="1" showInputMessage="1" showErrorMessage="1" sqref="I22:I121" xr:uid="{FD9DB612-22DD-488F-A5FF-651F6CEA74A8}">
      <formula1>$AU$2:$AU$10</formula1>
    </dataValidation>
    <dataValidation type="list" allowBlank="1" showInputMessage="1" showErrorMessage="1" sqref="H22:H121" xr:uid="{84409098-5ABE-4717-9074-570830A34402}">
      <formula1>$AT$2:$AT$6</formula1>
    </dataValidation>
  </dataValidations>
  <pageMargins left="0.51181102362204722" right="0.31496062992125984" top="0.43307086614173229" bottom="0.78740157480314965" header="0.19685039370078741" footer="0.31496062992125984"/>
  <pageSetup paperSize="9" scale="14" fitToHeight="0" orientation="landscape" r:id="rId1"/>
  <headerFooter>
    <oddFooter>&amp;L&amp;G&amp;C&amp;G&amp;R&amp;G</oddFooter>
  </headerFooter>
  <rowBreaks count="2" manualBreakCount="2">
    <brk id="134" max="16383" man="1"/>
    <brk id="177" max="1638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3086" r:id="rId5" name="Button 14">
              <controlPr defaultSize="0" print="0" autoFill="0" autoPict="0" macro="[0]!Hidequotesheet">
                <anchor moveWithCells="1" sizeWithCells="1">
                  <from>
                    <xdr:col>25</xdr:col>
                    <xdr:colOff>38100</xdr:colOff>
                    <xdr:row>0</xdr:row>
                    <xdr:rowOff>647700</xdr:rowOff>
                  </from>
                  <to>
                    <xdr:col>26</xdr:col>
                    <xdr:colOff>28575</xdr:colOff>
                    <xdr:row>1</xdr:row>
                    <xdr:rowOff>28575</xdr:rowOff>
                  </to>
                </anchor>
              </controlPr>
            </control>
          </mc:Choice>
        </mc:AlternateContent>
        <mc:AlternateContent xmlns:mc="http://schemas.openxmlformats.org/markup-compatibility/2006">
          <mc:Choice Requires="x14">
            <control shapeId="3087" r:id="rId6" name="Button 15">
              <controlPr defaultSize="0" print="0" autoFill="0" autoPict="0" macro="[0]!Unhidequote">
                <anchor moveWithCells="1" sizeWithCells="1">
                  <from>
                    <xdr:col>25</xdr:col>
                    <xdr:colOff>38100</xdr:colOff>
                    <xdr:row>2</xdr:row>
                    <xdr:rowOff>0</xdr:rowOff>
                  </from>
                  <to>
                    <xdr:col>25</xdr:col>
                    <xdr:colOff>2438400</xdr:colOff>
                    <xdr:row>3</xdr:row>
                    <xdr:rowOff>266700</xdr:rowOff>
                  </to>
                </anchor>
              </controlPr>
            </control>
          </mc:Choice>
        </mc:AlternateContent>
        <mc:AlternateContent xmlns:mc="http://schemas.openxmlformats.org/markup-compatibility/2006">
          <mc:Choice Requires="x14">
            <control shapeId="3088" r:id="rId7" name="Button 16">
              <controlPr defaultSize="0" print="0" autoFill="0" autoPict="0" macro="[0]!FiveitemOC">
                <anchor moveWithCells="1" sizeWithCells="1">
                  <from>
                    <xdr:col>23</xdr:col>
                    <xdr:colOff>114300</xdr:colOff>
                    <xdr:row>2</xdr:row>
                    <xdr:rowOff>38100</xdr:rowOff>
                  </from>
                  <to>
                    <xdr:col>24</xdr:col>
                    <xdr:colOff>28575</xdr:colOff>
                    <xdr:row>3</xdr:row>
                    <xdr:rowOff>247650</xdr:rowOff>
                  </to>
                </anchor>
              </controlPr>
            </control>
          </mc:Choice>
        </mc:AlternateContent>
        <mc:AlternateContent xmlns:mc="http://schemas.openxmlformats.org/markup-compatibility/2006">
          <mc:Choice Requires="x14">
            <control shapeId="3089" r:id="rId8" name="Button 17">
              <controlPr defaultSize="0" print="0" autoFill="0" autoPict="0" macro="[0]!TenitemOC">
                <anchor moveWithCells="1" sizeWithCells="1">
                  <from>
                    <xdr:col>23</xdr:col>
                    <xdr:colOff>133350</xdr:colOff>
                    <xdr:row>4</xdr:row>
                    <xdr:rowOff>276225</xdr:rowOff>
                  </from>
                  <to>
                    <xdr:col>23</xdr:col>
                    <xdr:colOff>2457450</xdr:colOff>
                    <xdr:row>7</xdr:row>
                    <xdr:rowOff>95250</xdr:rowOff>
                  </to>
                </anchor>
              </controlPr>
            </control>
          </mc:Choice>
        </mc:AlternateContent>
        <mc:AlternateContent xmlns:mc="http://schemas.openxmlformats.org/markup-compatibility/2006">
          <mc:Choice Requires="x14">
            <control shapeId="3090" r:id="rId9" name="Button 18">
              <controlPr defaultSize="0" print="0" autoFill="0" autoPict="0" macro="[0]!COPYINFOTOWORKSINSTRUCTION">
                <anchor moveWithCells="1" sizeWithCells="1">
                  <from>
                    <xdr:col>26</xdr:col>
                    <xdr:colOff>628650</xdr:colOff>
                    <xdr:row>0</xdr:row>
                    <xdr:rowOff>676275</xdr:rowOff>
                  </from>
                  <to>
                    <xdr:col>27</xdr:col>
                    <xdr:colOff>638175</xdr:colOff>
                    <xdr:row>1</xdr:row>
                    <xdr:rowOff>28575</xdr:rowOff>
                  </to>
                </anchor>
              </controlPr>
            </control>
          </mc:Choice>
        </mc:AlternateContent>
        <mc:AlternateContent xmlns:mc="http://schemas.openxmlformats.org/markup-compatibility/2006">
          <mc:Choice Requires="x14">
            <control shapeId="3091" r:id="rId10" name="Button 19">
              <controlPr defaultSize="0" print="0" autoFill="0" autoPict="0" macro="[0]!TwentyitemOC">
                <anchor moveWithCells="1" sizeWithCells="1">
                  <from>
                    <xdr:col>23</xdr:col>
                    <xdr:colOff>171450</xdr:colOff>
                    <xdr:row>8</xdr:row>
                    <xdr:rowOff>180975</xdr:rowOff>
                  </from>
                  <to>
                    <xdr:col>23</xdr:col>
                    <xdr:colOff>2466975</xdr:colOff>
                    <xdr:row>17</xdr:row>
                    <xdr:rowOff>361950</xdr:rowOff>
                  </to>
                </anchor>
              </controlPr>
            </control>
          </mc:Choice>
        </mc:AlternateContent>
        <mc:AlternateContent xmlns:mc="http://schemas.openxmlformats.org/markup-compatibility/2006">
          <mc:Choice Requires="x14">
            <control shapeId="3092" r:id="rId11" name="Button 20">
              <controlPr defaultSize="0" print="0" autoFill="0" autoPict="0" macro="[0]!AUNHIDEPOSTSURVEYROWS">
                <anchor moveWithCells="1" sizeWithCells="1">
                  <from>
                    <xdr:col>25</xdr:col>
                    <xdr:colOff>38100</xdr:colOff>
                    <xdr:row>4</xdr:row>
                    <xdr:rowOff>295275</xdr:rowOff>
                  </from>
                  <to>
                    <xdr:col>25</xdr:col>
                    <xdr:colOff>2438400</xdr:colOff>
                    <xdr:row>7</xdr:row>
                    <xdr:rowOff>114300</xdr:rowOff>
                  </to>
                </anchor>
              </controlPr>
            </control>
          </mc:Choice>
        </mc:AlternateContent>
        <mc:AlternateContent xmlns:mc="http://schemas.openxmlformats.org/markup-compatibility/2006">
          <mc:Choice Requires="x14">
            <control shapeId="3093" r:id="rId12" name="Button 21">
              <controlPr defaultSize="0" print="0" autoFill="0" autoPict="0" macro="[0]!AHIDEPOSTSURVEYROWS">
                <anchor moveWithCells="1" sizeWithCells="1">
                  <from>
                    <xdr:col>25</xdr:col>
                    <xdr:colOff>57150</xdr:colOff>
                    <xdr:row>8</xdr:row>
                    <xdr:rowOff>180975</xdr:rowOff>
                  </from>
                  <to>
                    <xdr:col>26</xdr:col>
                    <xdr:colOff>28575</xdr:colOff>
                    <xdr:row>17</xdr:row>
                    <xdr:rowOff>333375</xdr:rowOff>
                  </to>
                </anchor>
              </controlPr>
            </control>
          </mc:Choice>
        </mc:AlternateContent>
        <mc:AlternateContent xmlns:mc="http://schemas.openxmlformats.org/markup-compatibility/2006">
          <mc:Choice Requires="x14">
            <control shapeId="3095" r:id="rId13" name="Button 23">
              <controlPr defaultSize="0" print="0" autoFill="0" autoPict="0" macro="[0]!UnhideWI">
                <anchor moveWithCells="1" sizeWithCells="1">
                  <from>
                    <xdr:col>26</xdr:col>
                    <xdr:colOff>676275</xdr:colOff>
                    <xdr:row>1</xdr:row>
                    <xdr:rowOff>323850</xdr:rowOff>
                  </from>
                  <to>
                    <xdr:col>27</xdr:col>
                    <xdr:colOff>590550</xdr:colOff>
                    <xdr:row>3</xdr:row>
                    <xdr:rowOff>295275</xdr:rowOff>
                  </to>
                </anchor>
              </controlPr>
            </control>
          </mc:Choice>
        </mc:AlternateContent>
        <mc:AlternateContent xmlns:mc="http://schemas.openxmlformats.org/markup-compatibility/2006">
          <mc:Choice Requires="x14">
            <control shapeId="3096" r:id="rId14" name="Button 24">
              <controlPr defaultSize="0" print="0" autoFill="0" autoPict="0" macro="[0]!HideWI">
                <anchor moveWithCells="1" sizeWithCells="1">
                  <from>
                    <xdr:col>26</xdr:col>
                    <xdr:colOff>685800</xdr:colOff>
                    <xdr:row>4</xdr:row>
                    <xdr:rowOff>333375</xdr:rowOff>
                  </from>
                  <to>
                    <xdr:col>27</xdr:col>
                    <xdr:colOff>571500</xdr:colOff>
                    <xdr:row>7</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00B0F0"/>
    <pageSetUpPr fitToPage="1"/>
  </sheetPr>
  <dimension ref="A1:BX111"/>
  <sheetViews>
    <sheetView topLeftCell="A2" zoomScale="55" zoomScaleNormal="55" workbookViewId="0">
      <selection activeCell="P76" sqref="P76"/>
    </sheetView>
  </sheetViews>
  <sheetFormatPr defaultColWidth="9.140625" defaultRowHeight="15" x14ac:dyDescent="0.25"/>
  <cols>
    <col min="1" max="1" width="15.140625" style="3" customWidth="1"/>
    <col min="2" max="2" width="11.42578125" style="3" customWidth="1"/>
    <col min="3" max="3" width="18" style="3" customWidth="1"/>
    <col min="4" max="6" width="15.140625" style="3" customWidth="1"/>
    <col min="7" max="7" width="35.42578125" style="2" customWidth="1"/>
    <col min="8" max="8" width="14.5703125" style="3" customWidth="1"/>
    <col min="9" max="9" width="15.85546875" style="3" customWidth="1"/>
    <col min="10" max="10" width="37.42578125" style="3" customWidth="1"/>
    <col min="11" max="11" width="12" style="2" customWidth="1"/>
    <col min="12" max="12" width="14.140625" style="2" customWidth="1"/>
    <col min="13" max="13" width="52.5703125" style="3" customWidth="1"/>
    <col min="14" max="16" width="26.42578125" style="1" customWidth="1"/>
    <col min="17" max="17" width="30.42578125" style="1" customWidth="1"/>
    <col min="18" max="18" width="13.42578125" style="1" customWidth="1"/>
    <col min="19" max="19" width="7.42578125" style="1" customWidth="1"/>
    <col min="20" max="20" width="36.42578125" style="1" customWidth="1"/>
    <col min="21" max="21" width="9.42578125" style="1" customWidth="1"/>
    <col min="22" max="22" width="31.42578125" style="1" customWidth="1"/>
    <col min="23" max="23" width="7.42578125" style="1" customWidth="1"/>
    <col min="24" max="24" width="26.42578125" style="1" customWidth="1"/>
    <col min="25" max="16384" width="9.140625" style="1"/>
  </cols>
  <sheetData>
    <row r="1" spans="1:23" ht="130.35" hidden="1" customHeight="1" x14ac:dyDescent="0.25">
      <c r="A1" s="318"/>
      <c r="B1" s="319"/>
      <c r="C1" s="319"/>
      <c r="D1" s="319"/>
      <c r="E1" s="319"/>
      <c r="F1" s="319"/>
      <c r="G1" s="319"/>
      <c r="H1" s="319"/>
      <c r="I1" s="319"/>
      <c r="J1" s="319"/>
      <c r="K1" s="319"/>
      <c r="L1" s="319"/>
      <c r="M1" s="319"/>
    </row>
    <row r="2" spans="1:23" ht="27" thickBot="1" x14ac:dyDescent="0.3">
      <c r="A2" s="476">
        <f ca="1">TODAY()</f>
        <v>46308</v>
      </c>
      <c r="B2" s="477"/>
      <c r="C2" s="477"/>
      <c r="D2" s="477"/>
      <c r="E2" s="477"/>
      <c r="F2" s="477"/>
      <c r="G2" s="477"/>
      <c r="H2" s="477"/>
      <c r="I2" s="477"/>
      <c r="J2" s="477"/>
      <c r="K2" s="477"/>
      <c r="L2" s="477"/>
      <c r="M2" s="477"/>
      <c r="N2" s="478"/>
      <c r="O2" s="478"/>
      <c r="P2" s="478"/>
      <c r="Q2" s="478"/>
    </row>
    <row r="3" spans="1:23" ht="32.25" thickBot="1" x14ac:dyDescent="0.3">
      <c r="A3" s="479" t="s">
        <v>101</v>
      </c>
      <c r="B3" s="480"/>
      <c r="C3" s="480"/>
      <c r="D3" s="480"/>
      <c r="E3" s="480"/>
      <c r="F3" s="480"/>
      <c r="G3" s="480"/>
      <c r="H3" s="480"/>
      <c r="I3" s="480"/>
      <c r="J3" s="480"/>
      <c r="K3" s="480"/>
      <c r="L3" s="480"/>
      <c r="M3" s="480"/>
      <c r="N3" s="480"/>
      <c r="O3" s="480"/>
      <c r="P3" s="480"/>
      <c r="Q3" s="429"/>
      <c r="S3" s="129"/>
      <c r="T3" s="144"/>
      <c r="U3" s="144"/>
      <c r="V3" s="144"/>
      <c r="W3" s="130"/>
    </row>
    <row r="4" spans="1:23" ht="24" customHeight="1" thickBot="1" x14ac:dyDescent="0.3">
      <c r="A4" s="44"/>
      <c r="B4" s="44"/>
      <c r="C4" s="44"/>
      <c r="D4" s="44"/>
      <c r="E4" s="44"/>
      <c r="F4" s="44"/>
      <c r="G4" s="44"/>
      <c r="H4" s="44"/>
      <c r="I4" s="44"/>
      <c r="J4" s="44"/>
      <c r="K4" s="44"/>
      <c r="L4" s="44"/>
      <c r="M4" s="137"/>
      <c r="S4" s="131"/>
      <c r="T4" s="481" t="s">
        <v>111</v>
      </c>
      <c r="U4" s="482"/>
      <c r="V4" s="482"/>
      <c r="W4" s="132"/>
    </row>
    <row r="5" spans="1:23" ht="27.75" x14ac:dyDescent="0.25">
      <c r="A5" s="470" t="str">
        <f>+'QUOTE WORKING SHEET'!A5:H5</f>
        <v>Allan Wilsher - Polly</v>
      </c>
      <c r="B5" s="471"/>
      <c r="C5" s="471"/>
      <c r="D5" s="471"/>
      <c r="E5" s="471"/>
      <c r="F5" s="471"/>
      <c r="G5" s="471"/>
      <c r="H5" s="471"/>
      <c r="I5" s="471"/>
      <c r="J5" s="471"/>
      <c r="K5" s="472"/>
      <c r="L5" s="44"/>
      <c r="M5" s="138"/>
      <c r="S5" s="131"/>
      <c r="T5" s="128"/>
      <c r="U5" s="128"/>
      <c r="V5" s="128"/>
      <c r="W5" s="132"/>
    </row>
    <row r="6" spans="1:23" ht="27.75" x14ac:dyDescent="0.25">
      <c r="A6" s="473" t="str">
        <f>+'QUOTE WORKING SHEET'!A6:H6</f>
        <v>Project: Richard and Sarah Monk</v>
      </c>
      <c r="B6" s="474"/>
      <c r="C6" s="474"/>
      <c r="D6" s="474"/>
      <c r="E6" s="474"/>
      <c r="F6" s="474"/>
      <c r="G6" s="474"/>
      <c r="H6" s="474"/>
      <c r="I6" s="474"/>
      <c r="J6" s="474"/>
      <c r="K6" s="475"/>
      <c r="L6" s="44"/>
      <c r="M6" s="139" t="s">
        <v>110</v>
      </c>
      <c r="S6" s="131"/>
      <c r="T6" s="128"/>
      <c r="U6" s="128"/>
      <c r="V6" s="128"/>
      <c r="W6" s="132"/>
    </row>
    <row r="7" spans="1:23" ht="27.75" x14ac:dyDescent="0.25">
      <c r="A7" s="473" t="e">
        <f>+'QUOTE WORKING SHEET'!#REF!</f>
        <v>#REF!</v>
      </c>
      <c r="B7" s="474"/>
      <c r="C7" s="474"/>
      <c r="D7" s="474"/>
      <c r="E7" s="474"/>
      <c r="F7" s="474"/>
      <c r="G7" s="474"/>
      <c r="H7" s="474"/>
      <c r="I7" s="474"/>
      <c r="J7" s="474"/>
      <c r="K7" s="475"/>
      <c r="L7" s="44"/>
      <c r="M7" s="140"/>
      <c r="S7" s="131"/>
      <c r="T7" s="128"/>
      <c r="U7" s="128"/>
      <c r="V7" s="128"/>
      <c r="W7" s="132"/>
    </row>
    <row r="8" spans="1:23" ht="27.75" x14ac:dyDescent="0.25">
      <c r="A8" s="473" t="str">
        <f>+'QUOTE WORKING SHEET'!A7:H7</f>
        <v>High View</v>
      </c>
      <c r="B8" s="474"/>
      <c r="C8" s="474"/>
      <c r="D8" s="474"/>
      <c r="E8" s="474"/>
      <c r="F8" s="474"/>
      <c r="G8" s="474"/>
      <c r="H8" s="474"/>
      <c r="I8" s="474"/>
      <c r="J8" s="474"/>
      <c r="K8" s="475"/>
      <c r="L8" s="44"/>
      <c r="M8" s="141"/>
      <c r="S8" s="131"/>
      <c r="T8" s="128"/>
      <c r="U8" s="128"/>
      <c r="V8" s="128"/>
      <c r="W8" s="132"/>
    </row>
    <row r="9" spans="1:23" ht="28.5" thickBot="1" x14ac:dyDescent="0.3">
      <c r="A9" s="485">
        <f>+'QUOTE WORKING SHEET'!A9:H9</f>
        <v>0</v>
      </c>
      <c r="B9" s="486"/>
      <c r="C9" s="486"/>
      <c r="D9" s="486"/>
      <c r="E9" s="486"/>
      <c r="F9" s="486"/>
      <c r="G9" s="486"/>
      <c r="H9" s="486"/>
      <c r="I9" s="486"/>
      <c r="J9" s="486"/>
      <c r="K9" s="487"/>
      <c r="L9" s="45"/>
      <c r="M9" s="46"/>
      <c r="S9" s="131"/>
      <c r="T9" s="128"/>
      <c r="U9" s="128"/>
      <c r="V9" s="128"/>
      <c r="W9" s="132"/>
    </row>
    <row r="10" spans="1:23" ht="27.75" x14ac:dyDescent="0.45">
      <c r="A10" s="329" t="s">
        <v>10</v>
      </c>
      <c r="B10" s="237"/>
      <c r="C10" s="237"/>
      <c r="D10" s="237"/>
      <c r="E10" s="237"/>
      <c r="F10" s="237"/>
      <c r="G10" s="237"/>
      <c r="H10" s="237"/>
      <c r="I10" s="237"/>
      <c r="J10" s="237"/>
      <c r="K10" s="237"/>
      <c r="L10" s="237"/>
      <c r="M10" s="237"/>
      <c r="N10" s="237"/>
      <c r="O10" s="237"/>
      <c r="P10" s="237"/>
      <c r="Q10" s="237"/>
      <c r="S10" s="131"/>
      <c r="T10" s="128"/>
      <c r="U10" s="128"/>
      <c r="V10" s="128"/>
      <c r="W10" s="132"/>
    </row>
    <row r="11" spans="1:23" ht="27.75" x14ac:dyDescent="0.45">
      <c r="A11" s="56"/>
      <c r="B11" s="56"/>
      <c r="C11" s="56"/>
      <c r="D11" s="56"/>
      <c r="E11" s="56"/>
      <c r="F11" s="56"/>
      <c r="G11" s="45"/>
      <c r="H11" s="46"/>
      <c r="I11" s="46"/>
      <c r="J11" s="46"/>
      <c r="K11" s="45"/>
      <c r="L11" s="45"/>
      <c r="M11" s="46"/>
      <c r="S11" s="131"/>
      <c r="T11" s="128"/>
      <c r="U11" s="128"/>
      <c r="V11" s="128"/>
      <c r="W11" s="132"/>
    </row>
    <row r="12" spans="1:23" ht="27.75" x14ac:dyDescent="0.45">
      <c r="A12" s="329" t="s">
        <v>41</v>
      </c>
      <c r="B12" s="237"/>
      <c r="C12" s="237"/>
      <c r="D12" s="237"/>
      <c r="E12" s="237"/>
      <c r="F12" s="237"/>
      <c r="G12" s="237"/>
      <c r="H12" s="237"/>
      <c r="I12" s="237"/>
      <c r="J12" s="237"/>
      <c r="K12" s="237"/>
      <c r="L12" s="237"/>
      <c r="M12" s="237"/>
      <c r="N12" s="237"/>
      <c r="O12" s="237"/>
      <c r="P12" s="237"/>
      <c r="Q12" s="237"/>
      <c r="S12" s="131"/>
      <c r="T12" s="128"/>
      <c r="U12" s="128"/>
      <c r="V12" s="128"/>
      <c r="W12" s="132"/>
    </row>
    <row r="13" spans="1:23" ht="12.2" customHeight="1" x14ac:dyDescent="0.25">
      <c r="A13" s="488"/>
      <c r="B13" s="317"/>
      <c r="C13" s="317"/>
      <c r="D13" s="317"/>
      <c r="E13" s="317"/>
      <c r="F13" s="317"/>
      <c r="G13" s="317"/>
      <c r="H13" s="317"/>
      <c r="I13" s="317"/>
      <c r="J13" s="317"/>
      <c r="K13" s="317"/>
      <c r="L13" s="317"/>
      <c r="M13" s="317"/>
      <c r="N13" s="317"/>
      <c r="O13" s="317"/>
      <c r="P13" s="317"/>
      <c r="Q13" s="317"/>
      <c r="S13" s="131"/>
      <c r="T13" s="128"/>
      <c r="U13" s="128"/>
      <c r="V13" s="128"/>
      <c r="W13" s="132"/>
    </row>
    <row r="14" spans="1:23" ht="55.15" customHeight="1" x14ac:dyDescent="0.25">
      <c r="A14" s="489" t="str">
        <f>+A5</f>
        <v>Allan Wilsher - Polly</v>
      </c>
      <c r="B14" s="490"/>
      <c r="C14" s="490"/>
      <c r="D14" s="490"/>
      <c r="E14" s="490"/>
      <c r="F14" s="490"/>
      <c r="G14" s="490"/>
      <c r="H14" s="490"/>
      <c r="I14" s="490"/>
      <c r="J14" s="490"/>
      <c r="K14" s="490"/>
      <c r="L14" s="490"/>
      <c r="M14" s="490"/>
      <c r="N14" s="490"/>
      <c r="O14" s="490"/>
      <c r="P14" s="490"/>
      <c r="Q14" s="490"/>
      <c r="S14" s="131"/>
      <c r="T14" s="128"/>
      <c r="U14" s="128"/>
      <c r="V14" s="128"/>
      <c r="W14" s="132"/>
    </row>
    <row r="15" spans="1:23" ht="10.9" customHeight="1" x14ac:dyDescent="0.25">
      <c r="A15" s="488"/>
      <c r="B15" s="317"/>
      <c r="C15" s="317"/>
      <c r="D15" s="317"/>
      <c r="E15" s="317"/>
      <c r="F15" s="317"/>
      <c r="G15" s="317"/>
      <c r="H15" s="317"/>
      <c r="I15" s="317"/>
      <c r="J15" s="317"/>
      <c r="K15" s="317"/>
      <c r="L15" s="317"/>
      <c r="M15" s="317"/>
      <c r="N15" s="317"/>
      <c r="O15" s="317"/>
      <c r="P15" s="317"/>
      <c r="Q15" s="317"/>
      <c r="S15" s="131"/>
      <c r="T15" s="128"/>
      <c r="U15" s="128"/>
      <c r="V15" s="128"/>
      <c r="W15" s="132"/>
    </row>
    <row r="16" spans="1:23" ht="75.2" customHeight="1" thickBot="1" x14ac:dyDescent="0.3">
      <c r="A16" s="94" t="s">
        <v>62</v>
      </c>
      <c r="B16" s="94" t="s">
        <v>63</v>
      </c>
      <c r="C16" s="94" t="s">
        <v>64</v>
      </c>
      <c r="D16" s="94" t="s">
        <v>67</v>
      </c>
      <c r="E16" s="94" t="s">
        <v>65</v>
      </c>
      <c r="F16" s="94" t="s">
        <v>66</v>
      </c>
      <c r="G16" s="94" t="s">
        <v>47</v>
      </c>
      <c r="H16" s="142" t="s">
        <v>68</v>
      </c>
      <c r="I16" s="142" t="s">
        <v>69</v>
      </c>
      <c r="J16" s="142" t="s">
        <v>72</v>
      </c>
      <c r="K16" s="94" t="s">
        <v>54</v>
      </c>
      <c r="L16" s="94" t="s">
        <v>55</v>
      </c>
      <c r="M16" s="143" t="s">
        <v>58</v>
      </c>
      <c r="N16" s="114" t="s">
        <v>104</v>
      </c>
      <c r="O16" s="114" t="s">
        <v>102</v>
      </c>
      <c r="P16" s="114" t="s">
        <v>103</v>
      </c>
      <c r="Q16" s="114" t="s">
        <v>105</v>
      </c>
      <c r="S16" s="133"/>
      <c r="T16" s="134"/>
      <c r="U16" s="134"/>
      <c r="V16" s="134"/>
      <c r="W16" s="135"/>
    </row>
    <row r="17" spans="1:19" ht="147.6" customHeight="1" x14ac:dyDescent="0.25">
      <c r="A17" s="118"/>
      <c r="B17" s="118"/>
      <c r="C17" s="118"/>
      <c r="D17" s="118"/>
      <c r="E17" s="118"/>
      <c r="F17" s="118"/>
      <c r="G17" s="118"/>
      <c r="H17" s="108"/>
      <c r="I17" s="108"/>
      <c r="J17" s="118"/>
      <c r="K17" s="118"/>
      <c r="L17" s="118"/>
      <c r="M17" s="136"/>
      <c r="N17" s="116"/>
      <c r="O17" s="116"/>
      <c r="P17" s="116"/>
      <c r="Q17" s="120"/>
      <c r="R17" s="103"/>
      <c r="S17" s="103"/>
    </row>
    <row r="18" spans="1:19" ht="147.6" customHeight="1" x14ac:dyDescent="0.25">
      <c r="A18" s="118"/>
      <c r="B18" s="118"/>
      <c r="C18" s="118"/>
      <c r="D18" s="118"/>
      <c r="E18" s="118"/>
      <c r="F18" s="118"/>
      <c r="G18" s="118"/>
      <c r="H18" s="108"/>
      <c r="I18" s="108"/>
      <c r="J18" s="118"/>
      <c r="K18" s="118"/>
      <c r="L18" s="118"/>
      <c r="M18" s="136"/>
      <c r="N18" s="116"/>
      <c r="O18" s="116"/>
      <c r="P18" s="116"/>
      <c r="Q18" s="120"/>
      <c r="R18" s="103"/>
      <c r="S18" s="103"/>
    </row>
    <row r="19" spans="1:19" ht="147.6" customHeight="1" x14ac:dyDescent="0.25">
      <c r="A19" s="118"/>
      <c r="B19" s="118"/>
      <c r="C19" s="118"/>
      <c r="D19" s="118"/>
      <c r="E19" s="118"/>
      <c r="F19" s="118"/>
      <c r="G19" s="118"/>
      <c r="H19" s="108"/>
      <c r="I19" s="108"/>
      <c r="J19" s="118"/>
      <c r="K19" s="118"/>
      <c r="L19" s="118"/>
      <c r="M19" s="136"/>
      <c r="N19" s="116"/>
      <c r="O19" s="116"/>
      <c r="P19" s="116"/>
      <c r="Q19" s="120"/>
      <c r="R19" s="103"/>
      <c r="S19" s="103"/>
    </row>
    <row r="20" spans="1:19" ht="147.6" customHeight="1" x14ac:dyDescent="0.25">
      <c r="A20" s="118"/>
      <c r="B20" s="118"/>
      <c r="C20" s="118"/>
      <c r="D20" s="118"/>
      <c r="E20" s="118"/>
      <c r="F20" s="118"/>
      <c r="G20" s="118"/>
      <c r="H20" s="108"/>
      <c r="I20" s="108"/>
      <c r="J20" s="118"/>
      <c r="K20" s="118"/>
      <c r="L20" s="118"/>
      <c r="M20" s="136"/>
      <c r="N20" s="116"/>
      <c r="O20" s="116"/>
      <c r="P20" s="117"/>
      <c r="Q20" s="120"/>
      <c r="R20" s="103"/>
      <c r="S20" s="103"/>
    </row>
    <row r="21" spans="1:19" ht="147.6" customHeight="1" x14ac:dyDescent="0.25">
      <c r="A21" s="118"/>
      <c r="B21" s="118"/>
      <c r="C21" s="118"/>
      <c r="D21" s="118"/>
      <c r="E21" s="118"/>
      <c r="F21" s="118"/>
      <c r="G21" s="118"/>
      <c r="H21" s="108"/>
      <c r="I21" s="108"/>
      <c r="J21" s="118"/>
      <c r="K21" s="118"/>
      <c r="L21" s="118"/>
      <c r="M21" s="136"/>
      <c r="N21" s="116"/>
      <c r="O21" s="116"/>
      <c r="P21" s="117"/>
      <c r="Q21" s="120"/>
      <c r="R21" s="103"/>
      <c r="S21" s="103"/>
    </row>
    <row r="22" spans="1:19" ht="147.6" customHeight="1" x14ac:dyDescent="0.25">
      <c r="A22" s="118"/>
      <c r="B22" s="118"/>
      <c r="C22" s="118"/>
      <c r="D22" s="118"/>
      <c r="E22" s="118"/>
      <c r="F22" s="118"/>
      <c r="G22" s="118"/>
      <c r="H22" s="108"/>
      <c r="I22" s="108"/>
      <c r="J22" s="118"/>
      <c r="K22" s="118"/>
      <c r="L22" s="118"/>
      <c r="M22" s="136"/>
      <c r="N22" s="116"/>
      <c r="O22" s="116"/>
      <c r="P22" s="116"/>
      <c r="Q22" s="120"/>
      <c r="R22" s="103"/>
      <c r="S22" s="103"/>
    </row>
    <row r="23" spans="1:19" ht="147.6" customHeight="1" x14ac:dyDescent="0.25">
      <c r="A23" s="118"/>
      <c r="B23" s="118"/>
      <c r="C23" s="118"/>
      <c r="D23" s="118"/>
      <c r="E23" s="118"/>
      <c r="F23" s="118"/>
      <c r="G23" s="118"/>
      <c r="H23" s="108"/>
      <c r="I23" s="108"/>
      <c r="J23" s="118"/>
      <c r="K23" s="118"/>
      <c r="L23" s="118"/>
      <c r="M23" s="136"/>
      <c r="N23" s="116"/>
      <c r="O23" s="116"/>
      <c r="P23" s="116"/>
      <c r="Q23" s="120"/>
      <c r="R23" s="103"/>
      <c r="S23" s="103"/>
    </row>
    <row r="24" spans="1:19" ht="147.6" customHeight="1" x14ac:dyDescent="0.25">
      <c r="A24" s="118"/>
      <c r="B24" s="118"/>
      <c r="C24" s="118"/>
      <c r="D24" s="118"/>
      <c r="E24" s="118"/>
      <c r="F24" s="118"/>
      <c r="G24" s="118"/>
      <c r="H24" s="108"/>
      <c r="I24" s="108"/>
      <c r="J24" s="118"/>
      <c r="K24" s="118"/>
      <c r="L24" s="118"/>
      <c r="M24" s="136"/>
      <c r="N24" s="116"/>
      <c r="O24" s="116"/>
      <c r="P24" s="116"/>
      <c r="Q24" s="120"/>
      <c r="R24" s="103"/>
      <c r="S24" s="103"/>
    </row>
    <row r="25" spans="1:19" ht="147.6" customHeight="1" x14ac:dyDescent="0.25">
      <c r="A25" s="118"/>
      <c r="B25" s="118"/>
      <c r="C25" s="118"/>
      <c r="D25" s="118"/>
      <c r="E25" s="118"/>
      <c r="F25" s="118"/>
      <c r="G25" s="118"/>
      <c r="H25" s="108"/>
      <c r="I25" s="108"/>
      <c r="J25" s="118"/>
      <c r="K25" s="118"/>
      <c r="L25" s="118"/>
      <c r="M25" s="136"/>
      <c r="N25" s="116"/>
      <c r="O25" s="116"/>
      <c r="P25" s="116"/>
      <c r="Q25" s="120"/>
      <c r="R25" s="103"/>
      <c r="S25" s="103"/>
    </row>
    <row r="26" spans="1:19" ht="147.6" customHeight="1" x14ac:dyDescent="0.25">
      <c r="A26" s="118"/>
      <c r="B26" s="118"/>
      <c r="C26" s="118"/>
      <c r="D26" s="118"/>
      <c r="E26" s="118"/>
      <c r="F26" s="118"/>
      <c r="G26" s="118"/>
      <c r="H26" s="108"/>
      <c r="I26" s="108"/>
      <c r="J26" s="118"/>
      <c r="K26" s="118"/>
      <c r="L26" s="118"/>
      <c r="M26" s="136"/>
      <c r="N26" s="116"/>
      <c r="O26" s="116"/>
      <c r="P26" s="116"/>
      <c r="Q26" s="120"/>
      <c r="R26" s="103"/>
      <c r="S26" s="103"/>
    </row>
    <row r="27" spans="1:19" ht="147.6" customHeight="1" x14ac:dyDescent="0.25">
      <c r="A27" s="118"/>
      <c r="B27" s="118"/>
      <c r="C27" s="118"/>
      <c r="D27" s="118"/>
      <c r="E27" s="118"/>
      <c r="F27" s="118"/>
      <c r="G27" s="118"/>
      <c r="H27" s="108"/>
      <c r="I27" s="108"/>
      <c r="J27" s="118"/>
      <c r="K27" s="118"/>
      <c r="L27" s="118"/>
      <c r="M27" s="136"/>
      <c r="N27" s="116"/>
      <c r="O27" s="116"/>
      <c r="P27" s="116"/>
      <c r="Q27" s="120"/>
      <c r="R27" s="103"/>
      <c r="S27" s="103"/>
    </row>
    <row r="28" spans="1:19" ht="147.6" customHeight="1" x14ac:dyDescent="0.25">
      <c r="A28" s="118"/>
      <c r="B28" s="118"/>
      <c r="C28" s="118"/>
      <c r="D28" s="118"/>
      <c r="E28" s="118"/>
      <c r="F28" s="118"/>
      <c r="G28" s="118"/>
      <c r="H28" s="108"/>
      <c r="I28" s="108"/>
      <c r="J28" s="118"/>
      <c r="K28" s="118"/>
      <c r="L28" s="118"/>
      <c r="M28" s="136"/>
      <c r="N28" s="116"/>
      <c r="O28" s="116"/>
      <c r="P28" s="116"/>
      <c r="Q28" s="120"/>
      <c r="R28" s="103"/>
      <c r="S28" s="103"/>
    </row>
    <row r="29" spans="1:19" ht="147.6" customHeight="1" x14ac:dyDescent="0.25">
      <c r="A29" s="118"/>
      <c r="B29" s="118"/>
      <c r="C29" s="118"/>
      <c r="D29" s="118"/>
      <c r="E29" s="118"/>
      <c r="F29" s="118"/>
      <c r="G29" s="118"/>
      <c r="H29" s="108"/>
      <c r="I29" s="108"/>
      <c r="J29" s="118"/>
      <c r="K29" s="118"/>
      <c r="L29" s="118"/>
      <c r="M29" s="136"/>
      <c r="N29" s="116"/>
      <c r="O29" s="116"/>
      <c r="P29" s="116"/>
      <c r="Q29" s="120"/>
      <c r="R29" s="103"/>
      <c r="S29" s="103"/>
    </row>
    <row r="30" spans="1:19" ht="147.6" customHeight="1" x14ac:dyDescent="0.25">
      <c r="A30" s="118"/>
      <c r="B30" s="118"/>
      <c r="C30" s="118"/>
      <c r="D30" s="118"/>
      <c r="E30" s="118"/>
      <c r="F30" s="118"/>
      <c r="G30" s="118"/>
      <c r="H30" s="108"/>
      <c r="I30" s="108"/>
      <c r="J30" s="118"/>
      <c r="K30" s="118"/>
      <c r="L30" s="118"/>
      <c r="M30" s="136"/>
      <c r="N30" s="116"/>
      <c r="O30" s="116"/>
      <c r="P30" s="116"/>
      <c r="Q30" s="120"/>
      <c r="R30" s="103"/>
      <c r="S30" s="103"/>
    </row>
    <row r="31" spans="1:19" ht="147.6" customHeight="1" x14ac:dyDescent="0.25">
      <c r="A31" s="118"/>
      <c r="B31" s="118"/>
      <c r="C31" s="118"/>
      <c r="D31" s="118"/>
      <c r="E31" s="118"/>
      <c r="F31" s="118"/>
      <c r="G31" s="118"/>
      <c r="H31" s="108"/>
      <c r="I31" s="108"/>
      <c r="J31" s="118"/>
      <c r="K31" s="118"/>
      <c r="L31" s="118"/>
      <c r="M31" s="136"/>
      <c r="N31" s="116"/>
      <c r="O31" s="116"/>
      <c r="P31" s="116"/>
      <c r="Q31" s="120"/>
      <c r="R31" s="103"/>
      <c r="S31" s="103"/>
    </row>
    <row r="32" spans="1:19" ht="147.6" customHeight="1" x14ac:dyDescent="0.25">
      <c r="A32" s="118"/>
      <c r="B32" s="118"/>
      <c r="C32" s="118"/>
      <c r="D32" s="118"/>
      <c r="E32" s="118"/>
      <c r="F32" s="118"/>
      <c r="G32" s="118"/>
      <c r="H32" s="108"/>
      <c r="I32" s="108"/>
      <c r="J32" s="118"/>
      <c r="K32" s="118"/>
      <c r="L32" s="118"/>
      <c r="M32" s="136"/>
      <c r="N32" s="116"/>
      <c r="O32" s="116"/>
      <c r="P32" s="116"/>
      <c r="Q32" s="120"/>
      <c r="R32" s="103"/>
      <c r="S32" s="103"/>
    </row>
    <row r="33" spans="1:19" ht="147.6" customHeight="1" x14ac:dyDescent="0.25">
      <c r="A33" s="118"/>
      <c r="B33" s="118"/>
      <c r="C33" s="118"/>
      <c r="D33" s="118"/>
      <c r="E33" s="118"/>
      <c r="F33" s="118"/>
      <c r="G33" s="118"/>
      <c r="H33" s="108"/>
      <c r="I33" s="108"/>
      <c r="J33" s="118"/>
      <c r="K33" s="118"/>
      <c r="L33" s="118"/>
      <c r="M33" s="136"/>
      <c r="N33" s="116"/>
      <c r="O33" s="116"/>
      <c r="P33" s="116"/>
      <c r="Q33" s="120"/>
      <c r="R33" s="103"/>
      <c r="S33" s="103"/>
    </row>
    <row r="34" spans="1:19" ht="147.6" customHeight="1" x14ac:dyDescent="0.25">
      <c r="A34" s="118"/>
      <c r="B34" s="118"/>
      <c r="C34" s="118"/>
      <c r="D34" s="118"/>
      <c r="E34" s="118"/>
      <c r="F34" s="118"/>
      <c r="G34" s="118"/>
      <c r="H34" s="108"/>
      <c r="I34" s="108"/>
      <c r="J34" s="118"/>
      <c r="K34" s="118"/>
      <c r="L34" s="118"/>
      <c r="M34" s="136"/>
      <c r="N34" s="116"/>
      <c r="O34" s="116"/>
      <c r="P34" s="116"/>
      <c r="Q34" s="120"/>
      <c r="R34" s="103"/>
      <c r="S34" s="103"/>
    </row>
    <row r="35" spans="1:19" ht="147.6" customHeight="1" x14ac:dyDescent="0.25">
      <c r="A35" s="118"/>
      <c r="B35" s="118"/>
      <c r="C35" s="118"/>
      <c r="D35" s="118"/>
      <c r="E35" s="118"/>
      <c r="F35" s="118"/>
      <c r="G35" s="118"/>
      <c r="H35" s="108"/>
      <c r="I35" s="108"/>
      <c r="J35" s="118"/>
      <c r="K35" s="118"/>
      <c r="L35" s="118"/>
      <c r="M35" s="136"/>
      <c r="N35" s="116"/>
      <c r="O35" s="116"/>
      <c r="P35" s="116"/>
      <c r="Q35" s="120"/>
      <c r="R35" s="103"/>
      <c r="S35" s="103"/>
    </row>
    <row r="36" spans="1:19" ht="147.6" customHeight="1" x14ac:dyDescent="0.25">
      <c r="A36" s="118"/>
      <c r="B36" s="118"/>
      <c r="C36" s="118"/>
      <c r="D36" s="118"/>
      <c r="E36" s="118"/>
      <c r="F36" s="118"/>
      <c r="G36" s="118"/>
      <c r="H36" s="108"/>
      <c r="I36" s="108"/>
      <c r="J36" s="118"/>
      <c r="K36" s="118"/>
      <c r="L36" s="118"/>
      <c r="M36" s="136"/>
      <c r="N36" s="116"/>
      <c r="O36" s="116"/>
      <c r="P36" s="116"/>
      <c r="Q36" s="120"/>
      <c r="R36" s="103"/>
      <c r="S36" s="103"/>
    </row>
    <row r="37" spans="1:19" ht="147.6" customHeight="1" x14ac:dyDescent="0.25">
      <c r="A37" s="118"/>
      <c r="B37" s="118"/>
      <c r="C37" s="118"/>
      <c r="D37" s="118"/>
      <c r="E37" s="118"/>
      <c r="F37" s="118"/>
      <c r="G37" s="118"/>
      <c r="H37" s="108"/>
      <c r="I37" s="108"/>
      <c r="J37" s="118"/>
      <c r="K37" s="118"/>
      <c r="L37" s="118"/>
      <c r="M37" s="136"/>
      <c r="N37" s="116"/>
      <c r="O37" s="116"/>
      <c r="P37" s="116"/>
      <c r="Q37" s="120"/>
      <c r="R37" s="103"/>
      <c r="S37" s="103"/>
    </row>
    <row r="38" spans="1:19" ht="147.6" customHeight="1" x14ac:dyDescent="0.25">
      <c r="A38" s="118"/>
      <c r="B38" s="118"/>
      <c r="C38" s="118"/>
      <c r="D38" s="118"/>
      <c r="E38" s="118"/>
      <c r="F38" s="118"/>
      <c r="G38" s="118"/>
      <c r="H38" s="108"/>
      <c r="I38" s="108"/>
      <c r="J38" s="118"/>
      <c r="K38" s="118"/>
      <c r="L38" s="118"/>
      <c r="M38" s="136"/>
      <c r="N38" s="116"/>
      <c r="O38" s="116"/>
      <c r="P38" s="116"/>
      <c r="Q38" s="120"/>
      <c r="R38" s="103"/>
      <c r="S38" s="103"/>
    </row>
    <row r="39" spans="1:19" ht="147.6" customHeight="1" x14ac:dyDescent="0.25">
      <c r="A39" s="118"/>
      <c r="B39" s="118"/>
      <c r="C39" s="118"/>
      <c r="D39" s="118"/>
      <c r="E39" s="118"/>
      <c r="F39" s="118"/>
      <c r="G39" s="118"/>
      <c r="H39" s="108"/>
      <c r="I39" s="108"/>
      <c r="J39" s="118"/>
      <c r="K39" s="118"/>
      <c r="L39" s="118"/>
      <c r="M39" s="136"/>
      <c r="N39" s="116"/>
      <c r="O39" s="116"/>
      <c r="P39" s="116"/>
      <c r="Q39" s="120"/>
      <c r="R39" s="103"/>
      <c r="S39" s="103"/>
    </row>
    <row r="40" spans="1:19" ht="147.6" customHeight="1" x14ac:dyDescent="0.25">
      <c r="A40" s="118"/>
      <c r="B40" s="118"/>
      <c r="C40" s="118"/>
      <c r="D40" s="118"/>
      <c r="E40" s="118"/>
      <c r="F40" s="118"/>
      <c r="G40" s="118"/>
      <c r="H40" s="108"/>
      <c r="I40" s="108"/>
      <c r="J40" s="118"/>
      <c r="K40" s="118"/>
      <c r="L40" s="118"/>
      <c r="M40" s="136"/>
      <c r="N40" s="116"/>
      <c r="O40" s="116"/>
      <c r="P40" s="116"/>
      <c r="Q40" s="120"/>
      <c r="R40" s="103"/>
      <c r="S40" s="103"/>
    </row>
    <row r="41" spans="1:19" ht="147.6" customHeight="1" x14ac:dyDescent="0.25">
      <c r="A41" s="118"/>
      <c r="B41" s="118"/>
      <c r="C41" s="118"/>
      <c r="D41" s="118"/>
      <c r="E41" s="118"/>
      <c r="F41" s="118"/>
      <c r="G41" s="118"/>
      <c r="H41" s="108"/>
      <c r="I41" s="108"/>
      <c r="J41" s="118"/>
      <c r="K41" s="118"/>
      <c r="L41" s="118"/>
      <c r="M41" s="136"/>
      <c r="N41" s="116"/>
      <c r="O41" s="116"/>
      <c r="P41" s="116"/>
      <c r="Q41" s="120"/>
      <c r="R41" s="103"/>
      <c r="S41" s="103"/>
    </row>
    <row r="42" spans="1:19" ht="147.6" customHeight="1" x14ac:dyDescent="0.25">
      <c r="A42" s="118"/>
      <c r="B42" s="118"/>
      <c r="C42" s="118"/>
      <c r="D42" s="118"/>
      <c r="E42" s="118"/>
      <c r="F42" s="118"/>
      <c r="G42" s="118"/>
      <c r="H42" s="108"/>
      <c r="I42" s="108"/>
      <c r="J42" s="118"/>
      <c r="K42" s="118"/>
      <c r="L42" s="118"/>
      <c r="M42" s="136"/>
      <c r="N42" s="116"/>
      <c r="O42" s="116"/>
      <c r="P42" s="116"/>
      <c r="Q42" s="120"/>
      <c r="R42" s="103"/>
      <c r="S42" s="103"/>
    </row>
    <row r="43" spans="1:19" ht="147.6" customHeight="1" x14ac:dyDescent="0.25">
      <c r="A43" s="118"/>
      <c r="B43" s="118"/>
      <c r="C43" s="118"/>
      <c r="D43" s="118"/>
      <c r="E43" s="118"/>
      <c r="F43" s="118"/>
      <c r="G43" s="118"/>
      <c r="H43" s="108"/>
      <c r="I43" s="108"/>
      <c r="J43" s="118"/>
      <c r="K43" s="118"/>
      <c r="L43" s="118"/>
      <c r="M43" s="136"/>
      <c r="N43" s="116"/>
      <c r="O43" s="116"/>
      <c r="P43" s="116"/>
      <c r="Q43" s="120"/>
      <c r="R43" s="103"/>
      <c r="S43" s="103"/>
    </row>
    <row r="44" spans="1:19" ht="147.6" customHeight="1" x14ac:dyDescent="0.25">
      <c r="A44" s="118"/>
      <c r="B44" s="118"/>
      <c r="C44" s="118"/>
      <c r="D44" s="118"/>
      <c r="E44" s="118"/>
      <c r="F44" s="118"/>
      <c r="G44" s="118"/>
      <c r="H44" s="108"/>
      <c r="I44" s="108"/>
      <c r="J44" s="118"/>
      <c r="K44" s="118"/>
      <c r="L44" s="118"/>
      <c r="M44" s="136"/>
      <c r="N44" s="116"/>
      <c r="O44" s="116"/>
      <c r="P44" s="116"/>
      <c r="Q44" s="120"/>
      <c r="R44" s="103"/>
      <c r="S44" s="103"/>
    </row>
    <row r="45" spans="1:19" ht="147.6" customHeight="1" x14ac:dyDescent="0.25">
      <c r="A45" s="118"/>
      <c r="B45" s="118"/>
      <c r="C45" s="118"/>
      <c r="D45" s="118"/>
      <c r="E45" s="118"/>
      <c r="F45" s="118"/>
      <c r="G45" s="118"/>
      <c r="H45" s="108"/>
      <c r="I45" s="108"/>
      <c r="J45" s="118"/>
      <c r="K45" s="118"/>
      <c r="L45" s="118"/>
      <c r="M45" s="136"/>
      <c r="N45" s="116"/>
      <c r="O45" s="116"/>
      <c r="P45" s="116"/>
      <c r="Q45" s="120"/>
      <c r="R45" s="103"/>
      <c r="S45" s="103"/>
    </row>
    <row r="46" spans="1:19" ht="147.6" customHeight="1" x14ac:dyDescent="0.25">
      <c r="A46" s="118"/>
      <c r="B46" s="118"/>
      <c r="C46" s="118"/>
      <c r="D46" s="118"/>
      <c r="E46" s="118"/>
      <c r="F46" s="118"/>
      <c r="G46" s="118"/>
      <c r="H46" s="108"/>
      <c r="I46" s="108"/>
      <c r="J46" s="118"/>
      <c r="K46" s="118"/>
      <c r="L46" s="118"/>
      <c r="M46" s="136"/>
      <c r="N46" s="116"/>
      <c r="O46" s="116"/>
      <c r="P46" s="116"/>
      <c r="Q46" s="120"/>
      <c r="R46" s="103"/>
      <c r="S46" s="103"/>
    </row>
    <row r="47" spans="1:19" ht="147.6" customHeight="1" x14ac:dyDescent="0.25">
      <c r="A47" s="118"/>
      <c r="B47" s="118"/>
      <c r="C47" s="118"/>
      <c r="D47" s="118"/>
      <c r="E47" s="118"/>
      <c r="F47" s="118"/>
      <c r="G47" s="118"/>
      <c r="H47" s="108"/>
      <c r="I47" s="108"/>
      <c r="J47" s="118"/>
      <c r="K47" s="118"/>
      <c r="L47" s="118"/>
      <c r="M47" s="136"/>
      <c r="N47" s="116"/>
      <c r="O47" s="116"/>
      <c r="P47" s="116"/>
      <c r="Q47" s="120"/>
      <c r="R47" s="103"/>
      <c r="S47" s="103"/>
    </row>
    <row r="48" spans="1:19" ht="147.6" customHeight="1" x14ac:dyDescent="0.25">
      <c r="A48" s="118"/>
      <c r="B48" s="118"/>
      <c r="C48" s="118"/>
      <c r="D48" s="118"/>
      <c r="E48" s="118"/>
      <c r="F48" s="118"/>
      <c r="G48" s="118"/>
      <c r="H48" s="108"/>
      <c r="I48" s="108"/>
      <c r="J48" s="118"/>
      <c r="K48" s="118"/>
      <c r="L48" s="118"/>
      <c r="M48" s="136"/>
      <c r="N48" s="116"/>
      <c r="O48" s="116"/>
      <c r="P48" s="116"/>
      <c r="Q48" s="120"/>
      <c r="R48" s="103"/>
      <c r="S48" s="103"/>
    </row>
    <row r="49" spans="1:19" ht="147.6" customHeight="1" x14ac:dyDescent="0.25">
      <c r="A49" s="118"/>
      <c r="B49" s="118"/>
      <c r="C49" s="118"/>
      <c r="D49" s="118"/>
      <c r="E49" s="118"/>
      <c r="F49" s="118"/>
      <c r="G49" s="118"/>
      <c r="H49" s="108"/>
      <c r="I49" s="108"/>
      <c r="J49" s="118"/>
      <c r="K49" s="118"/>
      <c r="L49" s="118"/>
      <c r="M49" s="136"/>
      <c r="N49" s="116"/>
      <c r="O49" s="116"/>
      <c r="P49" s="116"/>
      <c r="Q49" s="120"/>
      <c r="R49" s="103"/>
      <c r="S49" s="103"/>
    </row>
    <row r="50" spans="1:19" ht="147.6" customHeight="1" x14ac:dyDescent="0.25">
      <c r="A50" s="118"/>
      <c r="B50" s="118"/>
      <c r="C50" s="118"/>
      <c r="D50" s="118"/>
      <c r="E50" s="118"/>
      <c r="F50" s="118"/>
      <c r="G50" s="118"/>
      <c r="H50" s="108"/>
      <c r="I50" s="108"/>
      <c r="J50" s="118"/>
      <c r="K50" s="118"/>
      <c r="L50" s="118"/>
      <c r="M50" s="136"/>
      <c r="N50" s="116"/>
      <c r="O50" s="116"/>
      <c r="P50" s="116"/>
      <c r="Q50" s="120"/>
      <c r="R50" s="103"/>
      <c r="S50" s="103"/>
    </row>
    <row r="51" spans="1:19" ht="147.6" customHeight="1" x14ac:dyDescent="0.25">
      <c r="A51" s="118"/>
      <c r="B51" s="118"/>
      <c r="C51" s="118"/>
      <c r="D51" s="118"/>
      <c r="E51" s="118"/>
      <c r="F51" s="118"/>
      <c r="G51" s="118"/>
      <c r="H51" s="108"/>
      <c r="I51" s="108"/>
      <c r="J51" s="118"/>
      <c r="K51" s="118"/>
      <c r="L51" s="118"/>
      <c r="M51" s="136"/>
      <c r="N51" s="116"/>
      <c r="O51" s="116"/>
      <c r="P51" s="116"/>
      <c r="Q51" s="120"/>
      <c r="R51" s="103"/>
      <c r="S51" s="103"/>
    </row>
    <row r="52" spans="1:19" ht="147.6" customHeight="1" x14ac:dyDescent="0.25">
      <c r="A52" s="118"/>
      <c r="B52" s="118"/>
      <c r="C52" s="118"/>
      <c r="D52" s="118"/>
      <c r="E52" s="118"/>
      <c r="F52" s="118"/>
      <c r="G52" s="118"/>
      <c r="H52" s="108"/>
      <c r="I52" s="108"/>
      <c r="J52" s="118"/>
      <c r="K52" s="118"/>
      <c r="L52" s="118"/>
      <c r="M52" s="136"/>
      <c r="N52" s="116"/>
      <c r="O52" s="116"/>
      <c r="P52" s="116"/>
      <c r="Q52" s="120"/>
      <c r="R52" s="103"/>
      <c r="S52" s="103"/>
    </row>
    <row r="53" spans="1:19" ht="147.6" customHeight="1" x14ac:dyDescent="0.25">
      <c r="A53" s="118"/>
      <c r="B53" s="118"/>
      <c r="C53" s="118"/>
      <c r="D53" s="118"/>
      <c r="E53" s="118"/>
      <c r="F53" s="118"/>
      <c r="G53" s="118"/>
      <c r="H53" s="108"/>
      <c r="I53" s="108"/>
      <c r="J53" s="118"/>
      <c r="K53" s="118"/>
      <c r="L53" s="118"/>
      <c r="M53" s="136"/>
      <c r="N53" s="116"/>
      <c r="O53" s="116"/>
      <c r="P53" s="116"/>
      <c r="Q53" s="120"/>
      <c r="R53" s="103"/>
      <c r="S53" s="103"/>
    </row>
    <row r="54" spans="1:19" ht="147.6" customHeight="1" x14ac:dyDescent="0.25">
      <c r="A54" s="118"/>
      <c r="B54" s="118"/>
      <c r="C54" s="118"/>
      <c r="D54" s="118"/>
      <c r="E54" s="118"/>
      <c r="F54" s="118"/>
      <c r="G54" s="118"/>
      <c r="H54" s="108"/>
      <c r="I54" s="108"/>
      <c r="J54" s="118"/>
      <c r="K54" s="118"/>
      <c r="L54" s="118"/>
      <c r="M54" s="136"/>
      <c r="N54" s="116"/>
      <c r="O54" s="116"/>
      <c r="P54" s="116"/>
      <c r="Q54" s="120"/>
      <c r="R54" s="103"/>
      <c r="S54" s="103"/>
    </row>
    <row r="55" spans="1:19" ht="147.6" customHeight="1" x14ac:dyDescent="0.25">
      <c r="A55" s="118"/>
      <c r="B55" s="118"/>
      <c r="C55" s="118"/>
      <c r="D55" s="118"/>
      <c r="E55" s="118"/>
      <c r="F55" s="118"/>
      <c r="G55" s="118"/>
      <c r="H55" s="108"/>
      <c r="I55" s="108"/>
      <c r="J55" s="118"/>
      <c r="K55" s="118"/>
      <c r="L55" s="118"/>
      <c r="M55" s="136"/>
      <c r="N55" s="116"/>
      <c r="O55" s="116"/>
      <c r="P55" s="116"/>
      <c r="Q55" s="120"/>
      <c r="R55" s="103"/>
      <c r="S55" s="103"/>
    </row>
    <row r="56" spans="1:19" ht="147.6" customHeight="1" x14ac:dyDescent="0.25">
      <c r="A56" s="118"/>
      <c r="B56" s="118"/>
      <c r="C56" s="118"/>
      <c r="D56" s="118"/>
      <c r="E56" s="118"/>
      <c r="F56" s="118"/>
      <c r="G56" s="118"/>
      <c r="H56" s="108"/>
      <c r="I56" s="108"/>
      <c r="J56" s="118"/>
      <c r="K56" s="118"/>
      <c r="L56" s="118"/>
      <c r="M56" s="136"/>
      <c r="N56" s="116"/>
      <c r="O56" s="116"/>
      <c r="P56" s="116"/>
      <c r="Q56" s="120"/>
      <c r="R56" s="103"/>
      <c r="S56" s="103"/>
    </row>
    <row r="57" spans="1:19" ht="147.6" customHeight="1" x14ac:dyDescent="0.25">
      <c r="A57" s="118"/>
      <c r="B57" s="118"/>
      <c r="C57" s="118"/>
      <c r="D57" s="118"/>
      <c r="E57" s="118"/>
      <c r="F57" s="118"/>
      <c r="G57" s="118"/>
      <c r="H57" s="108"/>
      <c r="I57" s="108"/>
      <c r="J57" s="118"/>
      <c r="K57" s="118"/>
      <c r="L57" s="118"/>
      <c r="M57" s="136"/>
      <c r="N57" s="116"/>
      <c r="O57" s="116"/>
      <c r="P57" s="116"/>
      <c r="Q57" s="120"/>
      <c r="R57" s="103"/>
      <c r="S57" s="103"/>
    </row>
    <row r="58" spans="1:19" ht="147.6" customHeight="1" x14ac:dyDescent="0.25">
      <c r="A58" s="118"/>
      <c r="B58" s="118"/>
      <c r="C58" s="118"/>
      <c r="D58" s="118"/>
      <c r="E58" s="118"/>
      <c r="F58" s="118"/>
      <c r="G58" s="118"/>
      <c r="H58" s="108"/>
      <c r="I58" s="108"/>
      <c r="J58" s="118"/>
      <c r="K58" s="118"/>
      <c r="L58" s="118"/>
      <c r="M58" s="136"/>
      <c r="N58" s="116"/>
      <c r="O58" s="116"/>
      <c r="P58" s="116"/>
      <c r="Q58" s="120"/>
      <c r="R58" s="103"/>
      <c r="S58" s="103"/>
    </row>
    <row r="59" spans="1:19" ht="147.6" customHeight="1" x14ac:dyDescent="0.25">
      <c r="A59" s="118"/>
      <c r="B59" s="118"/>
      <c r="C59" s="118"/>
      <c r="D59" s="118"/>
      <c r="E59" s="118"/>
      <c r="F59" s="118"/>
      <c r="G59" s="118"/>
      <c r="H59" s="108"/>
      <c r="I59" s="108"/>
      <c r="J59" s="118"/>
      <c r="K59" s="118"/>
      <c r="L59" s="118"/>
      <c r="M59" s="136"/>
      <c r="N59" s="116"/>
      <c r="O59" s="116"/>
      <c r="P59" s="116"/>
      <c r="Q59" s="120"/>
      <c r="R59" s="103"/>
      <c r="S59" s="103"/>
    </row>
    <row r="60" spans="1:19" ht="147.6" customHeight="1" x14ac:dyDescent="0.25">
      <c r="A60" s="118"/>
      <c r="B60" s="118"/>
      <c r="C60" s="118"/>
      <c r="D60" s="118"/>
      <c r="E60" s="118"/>
      <c r="F60" s="118"/>
      <c r="G60" s="118"/>
      <c r="H60" s="108"/>
      <c r="I60" s="108"/>
      <c r="J60" s="118"/>
      <c r="K60" s="118"/>
      <c r="L60" s="118"/>
      <c r="M60" s="136"/>
      <c r="N60" s="116"/>
      <c r="O60" s="116"/>
      <c r="P60" s="116"/>
      <c r="Q60" s="120"/>
      <c r="R60" s="103"/>
      <c r="S60" s="103"/>
    </row>
    <row r="61" spans="1:19" ht="147.6" customHeight="1" x14ac:dyDescent="0.25">
      <c r="A61" s="118"/>
      <c r="B61" s="118"/>
      <c r="C61" s="118"/>
      <c r="D61" s="118"/>
      <c r="E61" s="118"/>
      <c r="F61" s="118"/>
      <c r="G61" s="118"/>
      <c r="H61" s="108"/>
      <c r="I61" s="108"/>
      <c r="J61" s="118"/>
      <c r="K61" s="118"/>
      <c r="L61" s="118"/>
      <c r="M61" s="136"/>
      <c r="N61" s="116"/>
      <c r="O61" s="116"/>
      <c r="P61" s="116"/>
      <c r="Q61" s="120"/>
      <c r="R61" s="103"/>
      <c r="S61" s="103"/>
    </row>
    <row r="62" spans="1:19" ht="147.6" customHeight="1" x14ac:dyDescent="0.25">
      <c r="A62" s="118"/>
      <c r="B62" s="118"/>
      <c r="C62" s="118"/>
      <c r="D62" s="118"/>
      <c r="E62" s="118"/>
      <c r="F62" s="118"/>
      <c r="G62" s="118"/>
      <c r="H62" s="108"/>
      <c r="I62" s="108"/>
      <c r="J62" s="118"/>
      <c r="K62" s="118"/>
      <c r="L62" s="118"/>
      <c r="M62" s="136"/>
      <c r="N62" s="116"/>
      <c r="O62" s="116"/>
      <c r="P62" s="116"/>
      <c r="Q62" s="120"/>
      <c r="R62" s="103"/>
      <c r="S62" s="103"/>
    </row>
    <row r="63" spans="1:19" ht="147.6" customHeight="1" x14ac:dyDescent="0.25">
      <c r="A63" s="118"/>
      <c r="B63" s="118"/>
      <c r="C63" s="118"/>
      <c r="D63" s="118"/>
      <c r="E63" s="118"/>
      <c r="F63" s="118"/>
      <c r="G63" s="118"/>
      <c r="H63" s="108"/>
      <c r="I63" s="108"/>
      <c r="J63" s="118"/>
      <c r="K63" s="118"/>
      <c r="L63" s="118"/>
      <c r="M63" s="136"/>
      <c r="N63" s="116"/>
      <c r="O63" s="116"/>
      <c r="P63" s="116"/>
      <c r="Q63" s="120"/>
      <c r="R63" s="103"/>
      <c r="S63" s="103"/>
    </row>
    <row r="64" spans="1:19" ht="147.6" customHeight="1" x14ac:dyDescent="0.25">
      <c r="A64" s="118"/>
      <c r="B64" s="118"/>
      <c r="C64" s="118"/>
      <c r="D64" s="118"/>
      <c r="E64" s="118"/>
      <c r="F64" s="118"/>
      <c r="G64" s="118"/>
      <c r="H64" s="108"/>
      <c r="I64" s="108"/>
      <c r="J64" s="118"/>
      <c r="K64" s="118"/>
      <c r="L64" s="118"/>
      <c r="M64" s="136"/>
      <c r="N64" s="116"/>
      <c r="O64" s="116"/>
      <c r="P64" s="116"/>
      <c r="Q64" s="120"/>
      <c r="R64" s="103"/>
      <c r="S64" s="103"/>
    </row>
    <row r="65" spans="1:76" ht="147.6" customHeight="1" x14ac:dyDescent="0.25">
      <c r="A65" s="118"/>
      <c r="B65" s="118"/>
      <c r="C65" s="118"/>
      <c r="D65" s="118"/>
      <c r="E65" s="118"/>
      <c r="F65" s="118"/>
      <c r="G65" s="118"/>
      <c r="H65" s="108"/>
      <c r="I65" s="108"/>
      <c r="J65" s="118"/>
      <c r="K65" s="118"/>
      <c r="L65" s="118"/>
      <c r="M65" s="136"/>
      <c r="N65" s="116"/>
      <c r="O65" s="116"/>
      <c r="P65" s="116"/>
      <c r="Q65" s="120"/>
      <c r="R65" s="103"/>
      <c r="S65" s="103"/>
    </row>
    <row r="66" spans="1:76" ht="147.6" customHeight="1" x14ac:dyDescent="0.25">
      <c r="A66" s="118"/>
      <c r="B66" s="118"/>
      <c r="C66" s="118"/>
      <c r="D66" s="118"/>
      <c r="E66" s="118"/>
      <c r="F66" s="118"/>
      <c r="G66" s="118"/>
      <c r="H66" s="108"/>
      <c r="I66" s="108"/>
      <c r="J66" s="118"/>
      <c r="K66" s="118"/>
      <c r="L66" s="118"/>
      <c r="M66" s="136"/>
      <c r="N66" s="116"/>
      <c r="O66" s="116"/>
      <c r="P66" s="116"/>
      <c r="Q66" s="120"/>
      <c r="R66" s="103"/>
      <c r="S66" s="103"/>
    </row>
    <row r="67" spans="1:76" ht="54" customHeight="1" x14ac:dyDescent="0.25">
      <c r="A67" s="13"/>
      <c r="B67" s="13"/>
      <c r="C67" s="13"/>
      <c r="D67" s="13"/>
      <c r="E67" s="13"/>
      <c r="F67" s="13"/>
      <c r="G67" s="13"/>
      <c r="H67" s="13"/>
      <c r="I67" s="13"/>
      <c r="J67" s="13"/>
      <c r="K67" s="13"/>
      <c r="L67" s="13"/>
      <c r="M67" s="13"/>
      <c r="N67" s="491" t="s">
        <v>106</v>
      </c>
      <c r="O67" s="491"/>
      <c r="P67" s="491"/>
      <c r="Q67" s="119">
        <f>SUM(Q17:Q66)</f>
        <v>0</v>
      </c>
      <c r="R67" s="103"/>
      <c r="S67" s="103"/>
    </row>
    <row r="68" spans="1:76" ht="24" thickBot="1" x14ac:dyDescent="0.3">
      <c r="A68" s="8"/>
      <c r="B68" s="8"/>
      <c r="C68" s="8"/>
      <c r="D68" s="8"/>
      <c r="E68" s="8"/>
      <c r="F68" s="8"/>
      <c r="G68" s="6"/>
      <c r="H68" s="8"/>
      <c r="I68" s="8"/>
      <c r="J68" s="8"/>
      <c r="K68" s="6"/>
      <c r="L68" s="6"/>
      <c r="M68" s="7"/>
    </row>
    <row r="69" spans="1:76" s="89" customFormat="1" ht="25.15" customHeight="1" thickBot="1" x14ac:dyDescent="0.3">
      <c r="A69" s="483" t="s">
        <v>53</v>
      </c>
      <c r="B69" s="484"/>
      <c r="C69" s="484"/>
      <c r="D69" s="484"/>
      <c r="E69" s="484"/>
      <c r="F69" s="484"/>
      <c r="G69" s="484"/>
      <c r="H69" s="484"/>
      <c r="I69" s="484"/>
      <c r="J69" s="484"/>
      <c r="K69" s="484"/>
      <c r="L69" s="484"/>
      <c r="M69" s="484"/>
      <c r="N69" s="351"/>
      <c r="O69" s="351"/>
      <c r="P69" s="351"/>
      <c r="Q69" s="429"/>
    </row>
    <row r="70" spans="1:76" s="89" customFormat="1" ht="25.15" customHeight="1" x14ac:dyDescent="0.25">
      <c r="A70" s="340">
        <f>+'QUOTE WORKING SHEET'!A134:O134</f>
        <v>1</v>
      </c>
      <c r="B70" s="342"/>
      <c r="C70" s="342"/>
      <c r="D70" s="342"/>
      <c r="E70" s="342"/>
      <c r="F70" s="342"/>
      <c r="G70" s="342"/>
      <c r="H70" s="342"/>
      <c r="I70" s="342"/>
      <c r="J70" s="342"/>
      <c r="K70" s="342"/>
      <c r="L70" s="342"/>
      <c r="M70" s="317"/>
      <c r="N70" s="317"/>
      <c r="O70" s="317"/>
      <c r="P70" s="317"/>
      <c r="Q70" s="353"/>
    </row>
    <row r="71" spans="1:76" s="89" customFormat="1" ht="25.15" customHeight="1" x14ac:dyDescent="0.25">
      <c r="A71" s="340">
        <f>+'QUOTE WORKING SHEET'!A135:O135</f>
        <v>2</v>
      </c>
      <c r="B71" s="342"/>
      <c r="C71" s="342"/>
      <c r="D71" s="342"/>
      <c r="E71" s="342"/>
      <c r="F71" s="342"/>
      <c r="G71" s="342"/>
      <c r="H71" s="342"/>
      <c r="I71" s="342"/>
      <c r="J71" s="342"/>
      <c r="K71" s="342"/>
      <c r="L71" s="342"/>
      <c r="M71" s="317"/>
      <c r="N71" s="317"/>
      <c r="O71" s="317"/>
      <c r="P71" s="317"/>
      <c r="Q71" s="353"/>
    </row>
    <row r="72" spans="1:76" s="89" customFormat="1" ht="25.15" customHeight="1" x14ac:dyDescent="0.25">
      <c r="A72" s="340">
        <f>+'QUOTE WORKING SHEET'!A136:O136</f>
        <v>3</v>
      </c>
      <c r="B72" s="342"/>
      <c r="C72" s="342"/>
      <c r="D72" s="342"/>
      <c r="E72" s="342"/>
      <c r="F72" s="342"/>
      <c r="G72" s="342"/>
      <c r="H72" s="342"/>
      <c r="I72" s="342"/>
      <c r="J72" s="342"/>
      <c r="K72" s="342"/>
      <c r="L72" s="342"/>
      <c r="M72" s="317"/>
      <c r="N72" s="317"/>
      <c r="O72" s="317"/>
      <c r="P72" s="317"/>
      <c r="Q72" s="353"/>
    </row>
    <row r="73" spans="1:76" s="89" customFormat="1" ht="25.15" customHeight="1" x14ac:dyDescent="0.25">
      <c r="A73" s="340">
        <f>+'QUOTE WORKING SHEET'!A137:O137</f>
        <v>4</v>
      </c>
      <c r="B73" s="342"/>
      <c r="C73" s="342"/>
      <c r="D73" s="342"/>
      <c r="E73" s="342"/>
      <c r="F73" s="342"/>
      <c r="G73" s="342"/>
      <c r="H73" s="342"/>
      <c r="I73" s="342"/>
      <c r="J73" s="342"/>
      <c r="K73" s="342"/>
      <c r="L73" s="342"/>
      <c r="M73" s="317"/>
      <c r="N73" s="317"/>
      <c r="O73" s="317"/>
      <c r="P73" s="317"/>
      <c r="Q73" s="353"/>
    </row>
    <row r="74" spans="1:76" s="89" customFormat="1" ht="25.15" customHeight="1" thickBot="1" x14ac:dyDescent="0.3">
      <c r="A74" s="346">
        <f>+'QUOTE WORKING SHEET'!A138:O138</f>
        <v>5</v>
      </c>
      <c r="B74" s="455"/>
      <c r="C74" s="455"/>
      <c r="D74" s="455"/>
      <c r="E74" s="455"/>
      <c r="F74" s="455"/>
      <c r="G74" s="455"/>
      <c r="H74" s="455"/>
      <c r="I74" s="455"/>
      <c r="J74" s="455"/>
      <c r="K74" s="455"/>
      <c r="L74" s="455"/>
      <c r="M74" s="355"/>
      <c r="N74" s="355"/>
      <c r="O74" s="355"/>
      <c r="P74" s="355"/>
      <c r="Q74" s="356"/>
    </row>
    <row r="75" spans="1:76" s="89" customFormat="1" ht="25.15" customHeight="1" thickBot="1" x14ac:dyDescent="0.3">
      <c r="A75" s="124"/>
      <c r="B75" s="124"/>
      <c r="C75" s="124"/>
      <c r="D75" s="124"/>
      <c r="E75" s="124"/>
      <c r="F75" s="124"/>
      <c r="G75" s="124"/>
      <c r="H75" s="124"/>
      <c r="I75" s="124"/>
      <c r="J75" s="124"/>
      <c r="K75" s="124"/>
      <c r="L75" s="124"/>
      <c r="M75" s="1"/>
      <c r="N75" s="1"/>
      <c r="O75" s="1"/>
      <c r="P75" s="1"/>
      <c r="Q75" s="1"/>
    </row>
    <row r="76" spans="1:76" s="89" customFormat="1" ht="88.15" customHeight="1" thickBot="1" x14ac:dyDescent="0.3">
      <c r="A76" s="151"/>
      <c r="B76" s="459" t="s">
        <v>123</v>
      </c>
      <c r="C76" s="457"/>
      <c r="D76" s="457"/>
      <c r="E76" s="458"/>
      <c r="F76" s="456" t="s">
        <v>121</v>
      </c>
      <c r="G76" s="457"/>
      <c r="H76" s="458"/>
      <c r="I76" s="460" t="s">
        <v>122</v>
      </c>
      <c r="J76" s="461"/>
      <c r="K76" s="461"/>
      <c r="L76" s="461"/>
      <c r="M76" s="461"/>
      <c r="N76" s="462"/>
      <c r="O76" s="1"/>
      <c r="P76" s="1"/>
      <c r="Q76" s="1"/>
    </row>
    <row r="77" spans="1:76" ht="22.35" hidden="1" customHeight="1" x14ac:dyDescent="0.25">
      <c r="A77" s="150"/>
      <c r="B77" s="150"/>
      <c r="C77" s="150"/>
      <c r="D77" s="150"/>
      <c r="E77" s="150"/>
      <c r="F77" s="150"/>
      <c r="G77" s="150"/>
      <c r="H77" s="150"/>
      <c r="I77" s="463"/>
      <c r="J77" s="464"/>
      <c r="K77" s="464"/>
      <c r="L77" s="464"/>
      <c r="M77" s="464"/>
      <c r="N77" s="465"/>
    </row>
    <row r="78" spans="1:76" ht="22.35" hidden="1" customHeight="1" x14ac:dyDescent="0.25">
      <c r="A78" s="97"/>
      <c r="B78" s="97"/>
      <c r="C78" s="97"/>
      <c r="D78" s="97"/>
      <c r="E78" s="97"/>
      <c r="F78" s="97"/>
      <c r="G78" s="97"/>
      <c r="H78" s="97"/>
      <c r="I78" s="97"/>
      <c r="J78" s="97"/>
      <c r="K78" s="97"/>
      <c r="L78" s="97"/>
      <c r="M78" s="97"/>
    </row>
    <row r="79" spans="1:76" ht="22.35" customHeight="1" thickBot="1" x14ac:dyDescent="0.3">
      <c r="A79" s="97"/>
      <c r="B79" s="97"/>
      <c r="C79" s="97"/>
      <c r="D79" s="97"/>
      <c r="E79" s="97"/>
      <c r="F79" s="97"/>
      <c r="G79" s="97"/>
      <c r="H79" s="97"/>
      <c r="I79" s="97"/>
      <c r="J79" s="97"/>
      <c r="K79" s="97"/>
      <c r="L79" s="97"/>
      <c r="M79" s="97"/>
    </row>
    <row r="80" spans="1:76" s="12" customFormat="1" ht="31.9" customHeight="1" thickBot="1" x14ac:dyDescent="0.3">
      <c r="A80" s="357" t="s">
        <v>94</v>
      </c>
      <c r="B80" s="358"/>
      <c r="C80" s="358"/>
      <c r="D80" s="358"/>
      <c r="E80" s="358"/>
      <c r="F80" s="358"/>
      <c r="G80" s="358"/>
      <c r="H80" s="358"/>
      <c r="I80" s="358"/>
      <c r="J80" s="358"/>
      <c r="K80" s="358"/>
      <c r="L80" s="358"/>
      <c r="M80" s="358"/>
      <c r="N80" s="358"/>
      <c r="O80" s="358"/>
      <c r="P80" s="358"/>
      <c r="Q80" s="359"/>
      <c r="R80" s="1"/>
      <c r="S80" s="1"/>
      <c r="T80" s="1"/>
      <c r="U80" s="1"/>
      <c r="V80" s="1"/>
      <c r="W80" s="1"/>
      <c r="X80" s="15"/>
      <c r="Y80" s="15"/>
      <c r="Z80" s="15"/>
      <c r="AA80" s="15"/>
      <c r="AB80" s="15"/>
      <c r="AC80" s="15"/>
      <c r="AD80" s="15"/>
      <c r="AE80" s="15"/>
      <c r="AF80" s="15"/>
      <c r="AG80" s="15"/>
      <c r="AH80" s="15"/>
      <c r="AI80" s="15"/>
      <c r="AJ80" s="15"/>
      <c r="AK80" s="15"/>
      <c r="AL80" s="15"/>
      <c r="AM80" s="15"/>
      <c r="AN80" s="15"/>
      <c r="AO80" s="15"/>
      <c r="AP80" s="15"/>
      <c r="AQ80" s="15"/>
      <c r="AR80" s="15"/>
      <c r="AS80" s="15"/>
      <c r="AT80" s="15"/>
      <c r="AU80" s="15"/>
      <c r="AV80" s="15"/>
      <c r="AW80" s="15"/>
      <c r="AX80" s="15"/>
      <c r="AY80" s="15"/>
      <c r="AZ80" s="15"/>
      <c r="BA80" s="15"/>
      <c r="BB80" s="15"/>
      <c r="BC80" s="15"/>
      <c r="BD80" s="15"/>
      <c r="BE80" s="15"/>
      <c r="BF80" s="15"/>
      <c r="BG80" s="15"/>
      <c r="BH80" s="15"/>
      <c r="BI80" s="15"/>
      <c r="BJ80" s="15"/>
      <c r="BK80" s="15"/>
      <c r="BL80" s="15"/>
      <c r="BM80" s="15"/>
      <c r="BN80" s="15"/>
      <c r="BO80" s="15"/>
      <c r="BP80" s="15"/>
      <c r="BQ80" s="15"/>
      <c r="BR80" s="15"/>
      <c r="BS80" s="15"/>
      <c r="BT80" s="15"/>
      <c r="BU80" s="15"/>
      <c r="BV80" s="15"/>
      <c r="BW80" s="15"/>
      <c r="BX80" s="15"/>
    </row>
    <row r="81" spans="1:76" ht="24.6" customHeight="1" x14ac:dyDescent="0.25">
      <c r="A81" s="357">
        <f>+'ORDER CONFIRMATION'!A159:N159</f>
        <v>0</v>
      </c>
      <c r="B81" s="358"/>
      <c r="C81" s="358"/>
      <c r="D81" s="358"/>
      <c r="E81" s="358"/>
      <c r="F81" s="358"/>
      <c r="G81" s="358"/>
      <c r="H81" s="358"/>
      <c r="I81" s="358"/>
      <c r="J81" s="358"/>
      <c r="K81" s="358"/>
      <c r="L81" s="358"/>
      <c r="M81" s="358"/>
      <c r="N81" s="358"/>
      <c r="O81" s="358"/>
      <c r="P81" s="358"/>
      <c r="Q81" s="359"/>
      <c r="X81" s="15"/>
      <c r="Y81" s="15"/>
      <c r="Z81" s="15"/>
      <c r="AA81" s="15"/>
      <c r="AB81" s="15"/>
      <c r="AC81" s="15"/>
      <c r="AD81" s="15"/>
      <c r="AE81" s="15"/>
      <c r="AF81" s="15"/>
      <c r="AG81" s="15"/>
      <c r="AH81" s="15"/>
      <c r="AI81" s="15"/>
      <c r="AJ81" s="15"/>
      <c r="AK81" s="15"/>
      <c r="AL81" s="15"/>
      <c r="AM81" s="15"/>
      <c r="AN81" s="15"/>
      <c r="AO81" s="15"/>
      <c r="AP81" s="15"/>
      <c r="AQ81" s="15"/>
      <c r="AR81" s="15"/>
      <c r="AS81" s="15"/>
      <c r="AT81" s="15"/>
      <c r="AU81" s="15"/>
      <c r="AV81" s="15"/>
      <c r="AW81" s="15"/>
      <c r="AX81" s="15"/>
      <c r="AY81" s="15"/>
      <c r="AZ81" s="15"/>
      <c r="BA81" s="15"/>
      <c r="BB81" s="15"/>
      <c r="BC81" s="15"/>
      <c r="BD81" s="15"/>
      <c r="BE81" s="15"/>
      <c r="BF81" s="15"/>
      <c r="BG81" s="15"/>
      <c r="BH81" s="15"/>
      <c r="BI81" s="15"/>
      <c r="BJ81" s="15"/>
      <c r="BK81" s="15"/>
      <c r="BL81" s="15"/>
      <c r="BM81" s="15"/>
      <c r="BN81" s="15"/>
      <c r="BO81" s="15"/>
      <c r="BP81" s="15"/>
      <c r="BQ81" s="15"/>
      <c r="BR81" s="15"/>
      <c r="BS81" s="15"/>
      <c r="BT81" s="15"/>
      <c r="BU81" s="15"/>
      <c r="BV81" s="15"/>
      <c r="BW81" s="15"/>
      <c r="BX81" s="15"/>
    </row>
    <row r="82" spans="1:76" ht="24.6" customHeight="1" x14ac:dyDescent="0.25">
      <c r="A82" s="352">
        <f>+'ORDER CONFIRMATION'!A160:N160</f>
        <v>1</v>
      </c>
      <c r="B82" s="317"/>
      <c r="C82" s="317"/>
      <c r="D82" s="317"/>
      <c r="E82" s="317"/>
      <c r="F82" s="317"/>
      <c r="G82" s="317"/>
      <c r="H82" s="317"/>
      <c r="I82" s="317"/>
      <c r="J82" s="317"/>
      <c r="K82" s="317"/>
      <c r="L82" s="317"/>
      <c r="M82" s="317"/>
      <c r="N82" s="317"/>
      <c r="O82" s="317"/>
      <c r="P82" s="317"/>
      <c r="Q82" s="353"/>
      <c r="X82" s="15"/>
      <c r="Y82" s="15"/>
      <c r="Z82" s="15"/>
      <c r="AA82" s="15"/>
      <c r="AB82" s="15"/>
      <c r="AC82" s="15"/>
      <c r="AD82" s="15"/>
      <c r="AE82" s="15"/>
      <c r="AF82" s="15"/>
      <c r="AG82" s="15"/>
      <c r="AH82" s="15"/>
      <c r="AI82" s="15"/>
      <c r="AJ82" s="15"/>
      <c r="AK82" s="15"/>
      <c r="AL82" s="15"/>
      <c r="AM82" s="15"/>
      <c r="AN82" s="15"/>
      <c r="AO82" s="15"/>
      <c r="AP82" s="15"/>
      <c r="AQ82" s="15"/>
      <c r="AR82" s="15"/>
      <c r="AS82" s="15"/>
      <c r="AT82" s="15"/>
      <c r="AU82" s="15"/>
      <c r="AV82" s="15"/>
      <c r="AW82" s="15"/>
      <c r="AX82" s="15"/>
      <c r="AY82" s="15"/>
      <c r="AZ82" s="15"/>
      <c r="BA82" s="15"/>
      <c r="BB82" s="15"/>
      <c r="BC82" s="15"/>
      <c r="BD82" s="15"/>
      <c r="BE82" s="15"/>
      <c r="BF82" s="15"/>
      <c r="BG82" s="15"/>
      <c r="BH82" s="15"/>
      <c r="BI82" s="15"/>
      <c r="BJ82" s="15"/>
      <c r="BK82" s="15"/>
      <c r="BL82" s="15"/>
      <c r="BM82" s="15"/>
      <c r="BN82" s="15"/>
      <c r="BO82" s="15"/>
      <c r="BP82" s="15"/>
      <c r="BQ82" s="15"/>
      <c r="BR82" s="15"/>
      <c r="BS82" s="15"/>
      <c r="BT82" s="15"/>
      <c r="BU82" s="15"/>
      <c r="BV82" s="15"/>
      <c r="BW82" s="15"/>
      <c r="BX82" s="15"/>
    </row>
    <row r="83" spans="1:76" ht="24.6" customHeight="1" x14ac:dyDescent="0.25">
      <c r="A83" s="352">
        <f>+'ORDER CONFIRMATION'!A161:N161</f>
        <v>2</v>
      </c>
      <c r="B83" s="317"/>
      <c r="C83" s="317"/>
      <c r="D83" s="317"/>
      <c r="E83" s="317"/>
      <c r="F83" s="317"/>
      <c r="G83" s="317"/>
      <c r="H83" s="317"/>
      <c r="I83" s="317"/>
      <c r="J83" s="317"/>
      <c r="K83" s="317"/>
      <c r="L83" s="317"/>
      <c r="M83" s="317"/>
      <c r="N83" s="317"/>
      <c r="O83" s="317"/>
      <c r="P83" s="317"/>
      <c r="Q83" s="353"/>
      <c r="X83" s="15"/>
      <c r="Y83" s="15"/>
      <c r="Z83" s="15"/>
      <c r="AA83" s="15"/>
      <c r="AB83" s="15"/>
      <c r="AC83" s="15"/>
      <c r="AD83" s="15"/>
      <c r="AE83" s="15"/>
      <c r="AF83" s="15"/>
      <c r="AG83" s="15"/>
      <c r="AH83" s="15"/>
      <c r="AI83" s="15"/>
      <c r="AJ83" s="15"/>
      <c r="AK83" s="15"/>
      <c r="AL83" s="15"/>
      <c r="AM83" s="15"/>
      <c r="AN83" s="15"/>
      <c r="AO83" s="15"/>
      <c r="AP83" s="15"/>
      <c r="AQ83" s="15"/>
      <c r="AR83" s="15"/>
      <c r="AS83" s="15"/>
      <c r="AT83" s="15"/>
      <c r="AU83" s="15"/>
      <c r="AV83" s="15"/>
      <c r="AW83" s="15"/>
      <c r="AX83" s="15"/>
      <c r="AY83" s="15"/>
      <c r="AZ83" s="15"/>
      <c r="BA83" s="15"/>
      <c r="BB83" s="15"/>
      <c r="BC83" s="15"/>
      <c r="BD83" s="15"/>
      <c r="BE83" s="15"/>
      <c r="BF83" s="15"/>
      <c r="BG83" s="15"/>
      <c r="BH83" s="15"/>
      <c r="BI83" s="15"/>
      <c r="BJ83" s="15"/>
      <c r="BK83" s="15"/>
      <c r="BL83" s="15"/>
      <c r="BM83" s="15"/>
      <c r="BN83" s="15"/>
      <c r="BO83" s="15"/>
      <c r="BP83" s="15"/>
      <c r="BQ83" s="15"/>
      <c r="BR83" s="15"/>
      <c r="BS83" s="15"/>
      <c r="BT83" s="15"/>
      <c r="BU83" s="15"/>
      <c r="BV83" s="15"/>
      <c r="BW83" s="15"/>
      <c r="BX83" s="15"/>
    </row>
    <row r="84" spans="1:76" ht="24.6" customHeight="1" x14ac:dyDescent="0.25">
      <c r="A84" s="352">
        <f>+'ORDER CONFIRMATION'!A162:N162</f>
        <v>3</v>
      </c>
      <c r="B84" s="317"/>
      <c r="C84" s="317"/>
      <c r="D84" s="317"/>
      <c r="E84" s="317"/>
      <c r="F84" s="317"/>
      <c r="G84" s="317"/>
      <c r="H84" s="317"/>
      <c r="I84" s="317"/>
      <c r="J84" s="317"/>
      <c r="K84" s="317"/>
      <c r="L84" s="317"/>
      <c r="M84" s="317"/>
      <c r="N84" s="317"/>
      <c r="O84" s="317"/>
      <c r="P84" s="317"/>
      <c r="Q84" s="353"/>
      <c r="X84" s="15"/>
      <c r="Y84" s="15"/>
      <c r="Z84" s="15"/>
      <c r="AA84" s="15"/>
      <c r="AB84" s="15"/>
      <c r="AC84" s="15"/>
      <c r="AD84" s="15"/>
      <c r="AE84" s="15"/>
      <c r="AF84" s="15"/>
      <c r="AG84" s="15"/>
      <c r="AH84" s="15"/>
      <c r="AI84" s="15"/>
      <c r="AJ84" s="15"/>
      <c r="AK84" s="15"/>
      <c r="AL84" s="15"/>
      <c r="AM84" s="15"/>
      <c r="AN84" s="15"/>
      <c r="AO84" s="15"/>
      <c r="AP84" s="15"/>
      <c r="AQ84" s="15"/>
      <c r="AR84" s="15"/>
      <c r="AS84" s="15"/>
      <c r="AT84" s="15"/>
      <c r="AU84" s="15"/>
      <c r="AV84" s="15"/>
      <c r="AW84" s="15"/>
      <c r="AX84" s="15"/>
      <c r="AY84" s="15"/>
      <c r="AZ84" s="15"/>
      <c r="BA84" s="15"/>
      <c r="BB84" s="15"/>
      <c r="BC84" s="15"/>
      <c r="BD84" s="15"/>
      <c r="BE84" s="15"/>
      <c r="BF84" s="15"/>
      <c r="BG84" s="15"/>
      <c r="BH84" s="15"/>
      <c r="BI84" s="15"/>
      <c r="BJ84" s="15"/>
      <c r="BK84" s="15"/>
      <c r="BL84" s="15"/>
      <c r="BM84" s="15"/>
      <c r="BN84" s="15"/>
      <c r="BO84" s="15"/>
      <c r="BP84" s="15"/>
      <c r="BQ84" s="15"/>
      <c r="BR84" s="15"/>
      <c r="BS84" s="15"/>
      <c r="BT84" s="15"/>
      <c r="BU84" s="15"/>
      <c r="BV84" s="15"/>
      <c r="BW84" s="15"/>
      <c r="BX84" s="15"/>
    </row>
    <row r="85" spans="1:76" ht="24.6" customHeight="1" thickBot="1" x14ac:dyDescent="0.3">
      <c r="A85" s="354">
        <f>+'ORDER CONFIRMATION'!A163:N163</f>
        <v>4</v>
      </c>
      <c r="B85" s="355"/>
      <c r="C85" s="355"/>
      <c r="D85" s="355"/>
      <c r="E85" s="355"/>
      <c r="F85" s="355"/>
      <c r="G85" s="355"/>
      <c r="H85" s="355"/>
      <c r="I85" s="355"/>
      <c r="J85" s="355"/>
      <c r="K85" s="355"/>
      <c r="L85" s="355"/>
      <c r="M85" s="355"/>
      <c r="N85" s="355"/>
      <c r="O85" s="355"/>
      <c r="P85" s="355"/>
      <c r="Q85" s="356"/>
      <c r="X85" s="15"/>
      <c r="Y85" s="15"/>
      <c r="Z85" s="15"/>
      <c r="AA85" s="15"/>
      <c r="AB85" s="15"/>
      <c r="AC85" s="15"/>
      <c r="AD85" s="15"/>
      <c r="AE85" s="15"/>
      <c r="AF85" s="15"/>
      <c r="AG85" s="15"/>
      <c r="AH85" s="15"/>
      <c r="AI85" s="15"/>
      <c r="AJ85" s="15"/>
      <c r="AK85" s="15"/>
      <c r="AL85" s="15"/>
      <c r="AM85" s="15"/>
      <c r="AN85" s="15"/>
      <c r="AO85" s="15"/>
      <c r="AP85" s="15"/>
      <c r="AQ85" s="15"/>
      <c r="AR85" s="15"/>
      <c r="AS85" s="15"/>
      <c r="AT85" s="15"/>
      <c r="AU85" s="15"/>
      <c r="AV85" s="15"/>
      <c r="AW85" s="15"/>
      <c r="AX85" s="15"/>
      <c r="AY85" s="15"/>
      <c r="AZ85" s="15"/>
      <c r="BA85" s="15"/>
      <c r="BB85" s="15"/>
      <c r="BC85" s="15"/>
      <c r="BD85" s="15"/>
      <c r="BE85" s="15"/>
      <c r="BF85" s="15"/>
      <c r="BG85" s="15"/>
      <c r="BH85" s="15"/>
      <c r="BI85" s="15"/>
      <c r="BJ85" s="15"/>
      <c r="BK85" s="15"/>
      <c r="BL85" s="15"/>
      <c r="BM85" s="15"/>
      <c r="BN85" s="15"/>
      <c r="BO85" s="15"/>
      <c r="BP85" s="15"/>
      <c r="BQ85" s="15"/>
      <c r="BR85" s="15"/>
      <c r="BS85" s="15"/>
      <c r="BT85" s="15"/>
      <c r="BU85" s="15"/>
      <c r="BV85" s="15"/>
      <c r="BW85" s="15"/>
      <c r="BX85" s="15"/>
    </row>
    <row r="86" spans="1:76" ht="26.1" customHeight="1" thickBot="1" x14ac:dyDescent="0.3"/>
    <row r="87" spans="1:76" s="12" customFormat="1" ht="24" thickBot="1" x14ac:dyDescent="0.3">
      <c r="A87" s="357" t="str">
        <f>+'ORDER CONFIRMATION'!A226:U226</f>
        <v>GLASS SPEC - triple glazed?  Unusual size? Weight?</v>
      </c>
      <c r="B87" s="358"/>
      <c r="C87" s="358"/>
      <c r="D87" s="358"/>
      <c r="E87" s="358"/>
      <c r="F87" s="358"/>
      <c r="G87" s="358"/>
      <c r="H87" s="358"/>
      <c r="I87" s="358"/>
      <c r="J87" s="358"/>
      <c r="K87" s="358"/>
      <c r="L87" s="358"/>
      <c r="M87" s="358"/>
      <c r="N87" s="358"/>
      <c r="O87" s="358"/>
      <c r="P87" s="358"/>
      <c r="Q87" s="359"/>
      <c r="R87" s="1"/>
      <c r="S87" s="1"/>
      <c r="T87" s="1"/>
      <c r="U87" s="1"/>
      <c r="V87" s="1"/>
      <c r="W87" s="1"/>
      <c r="X87" s="15"/>
      <c r="Y87" s="15"/>
      <c r="Z87" s="15"/>
      <c r="AA87" s="15"/>
      <c r="AB87" s="15"/>
      <c r="AC87" s="15"/>
      <c r="AD87" s="15"/>
      <c r="AE87" s="15"/>
      <c r="AF87" s="15"/>
      <c r="AG87" s="15"/>
      <c r="AH87" s="15"/>
      <c r="AI87" s="15"/>
      <c r="AJ87" s="15"/>
      <c r="AK87" s="15"/>
      <c r="AL87" s="15"/>
      <c r="AM87" s="15"/>
      <c r="AN87" s="15"/>
      <c r="AO87" s="15"/>
      <c r="AP87" s="15"/>
      <c r="AQ87" s="15"/>
      <c r="AR87" s="15"/>
      <c r="AS87" s="15"/>
      <c r="AT87" s="15"/>
      <c r="AU87" s="15"/>
      <c r="AV87" s="15"/>
      <c r="AW87" s="15"/>
      <c r="AX87" s="15"/>
      <c r="AY87" s="15"/>
      <c r="AZ87" s="15"/>
      <c r="BA87" s="15"/>
      <c r="BB87" s="15"/>
      <c r="BC87" s="15"/>
      <c r="BD87" s="15"/>
      <c r="BE87" s="15"/>
      <c r="BF87" s="15"/>
      <c r="BG87" s="15"/>
      <c r="BH87" s="15"/>
      <c r="BI87" s="15"/>
      <c r="BJ87" s="15"/>
      <c r="BK87" s="15"/>
      <c r="BL87" s="15"/>
      <c r="BM87" s="15"/>
      <c r="BN87" s="15"/>
      <c r="BO87" s="15"/>
      <c r="BP87" s="15"/>
      <c r="BQ87" s="15"/>
      <c r="BR87" s="15"/>
      <c r="BS87" s="15"/>
      <c r="BT87" s="15"/>
      <c r="BU87" s="15"/>
      <c r="BV87" s="15"/>
      <c r="BW87" s="15"/>
      <c r="BX87" s="15"/>
    </row>
    <row r="88" spans="1:76" ht="24.6" customHeight="1" x14ac:dyDescent="0.25">
      <c r="A88" s="357">
        <f>+'ORDER CONFIRMATION'!A227:U227</f>
        <v>1</v>
      </c>
      <c r="B88" s="358"/>
      <c r="C88" s="358"/>
      <c r="D88" s="358"/>
      <c r="E88" s="358"/>
      <c r="F88" s="358"/>
      <c r="G88" s="358"/>
      <c r="H88" s="358"/>
      <c r="I88" s="358"/>
      <c r="J88" s="358"/>
      <c r="K88" s="358"/>
      <c r="L88" s="358"/>
      <c r="M88" s="358"/>
      <c r="N88" s="358"/>
      <c r="O88" s="358"/>
      <c r="P88" s="358"/>
      <c r="Q88" s="359"/>
      <c r="X88" s="15"/>
      <c r="Y88" s="15"/>
      <c r="Z88" s="15"/>
      <c r="AA88" s="15"/>
      <c r="AB88" s="15"/>
      <c r="AC88" s="15"/>
      <c r="AD88" s="15"/>
      <c r="AE88" s="15"/>
      <c r="AF88" s="15"/>
      <c r="AG88" s="15"/>
      <c r="AH88" s="15"/>
      <c r="AI88" s="15"/>
      <c r="AJ88" s="15"/>
      <c r="AK88" s="15"/>
      <c r="AL88" s="15"/>
      <c r="AM88" s="15"/>
      <c r="AN88" s="15"/>
      <c r="AO88" s="15"/>
      <c r="AP88" s="15"/>
      <c r="AQ88" s="15"/>
      <c r="AR88" s="15"/>
      <c r="AS88" s="15"/>
      <c r="AT88" s="15"/>
      <c r="AU88" s="15"/>
      <c r="AV88" s="15"/>
      <c r="AW88" s="15"/>
      <c r="AX88" s="15"/>
      <c r="AY88" s="15"/>
      <c r="AZ88" s="15"/>
      <c r="BA88" s="15"/>
      <c r="BB88" s="15"/>
      <c r="BC88" s="15"/>
      <c r="BD88" s="15"/>
      <c r="BE88" s="15"/>
      <c r="BF88" s="15"/>
      <c r="BG88" s="15"/>
      <c r="BH88" s="15"/>
      <c r="BI88" s="15"/>
      <c r="BJ88" s="15"/>
      <c r="BK88" s="15"/>
      <c r="BL88" s="15"/>
      <c r="BM88" s="15"/>
      <c r="BN88" s="15"/>
      <c r="BO88" s="15"/>
      <c r="BP88" s="15"/>
      <c r="BQ88" s="15"/>
      <c r="BR88" s="15"/>
      <c r="BS88" s="15"/>
      <c r="BT88" s="15"/>
      <c r="BU88" s="15"/>
      <c r="BV88" s="15"/>
      <c r="BW88" s="15"/>
      <c r="BX88" s="15"/>
    </row>
    <row r="89" spans="1:76" ht="24.6" customHeight="1" x14ac:dyDescent="0.25">
      <c r="A89" s="352">
        <f>+'ORDER CONFIRMATION'!A228:U228</f>
        <v>2</v>
      </c>
      <c r="B89" s="317"/>
      <c r="C89" s="317"/>
      <c r="D89" s="317"/>
      <c r="E89" s="317"/>
      <c r="F89" s="317"/>
      <c r="G89" s="317"/>
      <c r="H89" s="317"/>
      <c r="I89" s="317"/>
      <c r="J89" s="317"/>
      <c r="K89" s="317"/>
      <c r="L89" s="317"/>
      <c r="M89" s="317"/>
      <c r="N89" s="317"/>
      <c r="O89" s="317"/>
      <c r="P89" s="317"/>
      <c r="Q89" s="353"/>
      <c r="X89" s="15"/>
      <c r="Y89" s="15"/>
      <c r="Z89" s="15"/>
      <c r="AA89" s="15"/>
      <c r="AB89" s="15"/>
      <c r="AC89" s="15"/>
      <c r="AD89" s="15"/>
      <c r="AE89" s="15"/>
      <c r="AF89" s="15"/>
      <c r="AG89" s="15"/>
      <c r="AH89" s="15"/>
      <c r="AI89" s="15"/>
      <c r="AJ89" s="15"/>
      <c r="AK89" s="15"/>
      <c r="AL89" s="15"/>
      <c r="AM89" s="15"/>
      <c r="AN89" s="15"/>
      <c r="AO89" s="15"/>
      <c r="AP89" s="15"/>
      <c r="AQ89" s="15"/>
      <c r="AR89" s="15"/>
      <c r="AS89" s="15"/>
      <c r="AT89" s="15"/>
      <c r="AU89" s="15"/>
      <c r="AV89" s="15"/>
      <c r="AW89" s="15"/>
      <c r="AX89" s="15"/>
      <c r="AY89" s="15"/>
      <c r="AZ89" s="15"/>
      <c r="BA89" s="15"/>
      <c r="BB89" s="15"/>
      <c r="BC89" s="15"/>
      <c r="BD89" s="15"/>
      <c r="BE89" s="15"/>
      <c r="BF89" s="15"/>
      <c r="BG89" s="15"/>
      <c r="BH89" s="15"/>
      <c r="BI89" s="15"/>
      <c r="BJ89" s="15"/>
      <c r="BK89" s="15"/>
      <c r="BL89" s="15"/>
      <c r="BM89" s="15"/>
      <c r="BN89" s="15"/>
      <c r="BO89" s="15"/>
      <c r="BP89" s="15"/>
      <c r="BQ89" s="15"/>
      <c r="BR89" s="15"/>
      <c r="BS89" s="15"/>
      <c r="BT89" s="15"/>
      <c r="BU89" s="15"/>
      <c r="BV89" s="15"/>
      <c r="BW89" s="15"/>
      <c r="BX89" s="15"/>
    </row>
    <row r="90" spans="1:76" ht="24.6" customHeight="1" thickBot="1" x14ac:dyDescent="0.3">
      <c r="A90" s="354">
        <f>+'ORDER CONFIRMATION'!A229:U229</f>
        <v>3</v>
      </c>
      <c r="B90" s="355"/>
      <c r="C90" s="355"/>
      <c r="D90" s="355"/>
      <c r="E90" s="355"/>
      <c r="F90" s="355"/>
      <c r="G90" s="355"/>
      <c r="H90" s="355"/>
      <c r="I90" s="355"/>
      <c r="J90" s="355"/>
      <c r="K90" s="355"/>
      <c r="L90" s="355"/>
      <c r="M90" s="355"/>
      <c r="N90" s="355"/>
      <c r="O90" s="355"/>
      <c r="P90" s="355"/>
      <c r="Q90" s="356"/>
      <c r="X90" s="15"/>
      <c r="Y90" s="15"/>
      <c r="Z90" s="15"/>
      <c r="AA90" s="15"/>
      <c r="AB90" s="15"/>
      <c r="AC90" s="15"/>
      <c r="AD90" s="15"/>
      <c r="AE90" s="15"/>
      <c r="AF90" s="15"/>
      <c r="AG90" s="15"/>
      <c r="AH90" s="15"/>
      <c r="AI90" s="15"/>
      <c r="AJ90" s="15"/>
      <c r="AK90" s="15"/>
      <c r="AL90" s="15"/>
      <c r="AM90" s="15"/>
      <c r="AN90" s="15"/>
      <c r="AO90" s="15"/>
      <c r="AP90" s="15"/>
      <c r="AQ90" s="15"/>
      <c r="AR90" s="15"/>
      <c r="AS90" s="15"/>
      <c r="AT90" s="15"/>
      <c r="AU90" s="15"/>
      <c r="AV90" s="15"/>
      <c r="AW90" s="15"/>
      <c r="AX90" s="15"/>
      <c r="AY90" s="15"/>
      <c r="AZ90" s="15"/>
      <c r="BA90" s="15"/>
      <c r="BB90" s="15"/>
      <c r="BC90" s="15"/>
      <c r="BD90" s="15"/>
      <c r="BE90" s="15"/>
      <c r="BF90" s="15"/>
      <c r="BG90" s="15"/>
      <c r="BH90" s="15"/>
      <c r="BI90" s="15"/>
      <c r="BJ90" s="15"/>
      <c r="BK90" s="15"/>
      <c r="BL90" s="15"/>
      <c r="BM90" s="15"/>
      <c r="BN90" s="15"/>
      <c r="BO90" s="15"/>
      <c r="BP90" s="15"/>
      <c r="BQ90" s="15"/>
      <c r="BR90" s="15"/>
      <c r="BS90" s="15"/>
      <c r="BT90" s="15"/>
      <c r="BU90" s="15"/>
      <c r="BV90" s="15"/>
      <c r="BW90" s="15"/>
      <c r="BX90" s="15"/>
    </row>
    <row r="91" spans="1:76" ht="24.6" customHeight="1" thickBot="1" x14ac:dyDescent="0.3">
      <c r="A91" s="466"/>
      <c r="B91" s="467"/>
      <c r="C91" s="467"/>
      <c r="D91" s="467"/>
      <c r="E91" s="467"/>
      <c r="F91" s="467"/>
      <c r="G91" s="467"/>
      <c r="H91" s="467"/>
      <c r="I91" s="467"/>
      <c r="J91" s="467"/>
      <c r="K91" s="467"/>
      <c r="L91" s="467"/>
      <c r="M91" s="467"/>
      <c r="N91" s="467"/>
      <c r="O91" s="467"/>
      <c r="P91" s="467"/>
      <c r="Q91" s="467"/>
      <c r="X91" s="15"/>
      <c r="Y91" s="15"/>
      <c r="Z91" s="15"/>
      <c r="AA91" s="15"/>
      <c r="AB91" s="15"/>
      <c r="AC91" s="15"/>
      <c r="AD91" s="15"/>
      <c r="AE91" s="15"/>
      <c r="AF91" s="15"/>
      <c r="AG91" s="15"/>
      <c r="AH91" s="15"/>
      <c r="AI91" s="15"/>
      <c r="AJ91" s="15"/>
      <c r="AK91" s="15"/>
      <c r="AL91" s="15"/>
      <c r="AM91" s="15"/>
      <c r="AN91" s="15"/>
      <c r="AO91" s="15"/>
      <c r="AP91" s="15"/>
      <c r="AQ91" s="15"/>
      <c r="AR91" s="15"/>
      <c r="AS91" s="15"/>
      <c r="AT91" s="15"/>
      <c r="AU91" s="15"/>
      <c r="AV91" s="15"/>
      <c r="AW91" s="15"/>
      <c r="AX91" s="15"/>
      <c r="AY91" s="15"/>
      <c r="AZ91" s="15"/>
      <c r="BA91" s="15"/>
      <c r="BB91" s="15"/>
      <c r="BC91" s="15"/>
      <c r="BD91" s="15"/>
      <c r="BE91" s="15"/>
      <c r="BF91" s="15"/>
      <c r="BG91" s="15"/>
      <c r="BH91" s="15"/>
      <c r="BI91" s="15"/>
      <c r="BJ91" s="15"/>
      <c r="BK91" s="15"/>
      <c r="BL91" s="15"/>
      <c r="BM91" s="15"/>
      <c r="BN91" s="15"/>
      <c r="BO91" s="15"/>
      <c r="BP91" s="15"/>
      <c r="BQ91" s="15"/>
      <c r="BR91" s="15"/>
      <c r="BS91" s="15"/>
      <c r="BT91" s="15"/>
      <c r="BU91" s="15"/>
      <c r="BV91" s="15"/>
      <c r="BW91" s="15"/>
      <c r="BX91" s="15"/>
    </row>
    <row r="92" spans="1:76" s="12" customFormat="1" ht="24" thickBot="1" x14ac:dyDescent="0.3">
      <c r="A92" s="350" t="str">
        <f>+'ORDER CONFIRMATION'!A231:U231</f>
        <v>NOTES FROM SURVEY TO FITTERS.  Rip out? Positioning of frame? Gaps at head? Depth of reveal? Alterations req'd by builder? Specific fitting instructions?</v>
      </c>
      <c r="B92" s="351"/>
      <c r="C92" s="351"/>
      <c r="D92" s="351"/>
      <c r="E92" s="351"/>
      <c r="F92" s="351"/>
      <c r="G92" s="351"/>
      <c r="H92" s="351"/>
      <c r="I92" s="351"/>
      <c r="J92" s="351"/>
      <c r="K92" s="351"/>
      <c r="L92" s="351"/>
      <c r="M92" s="351"/>
      <c r="N92" s="351"/>
      <c r="O92" s="351"/>
      <c r="P92" s="351"/>
      <c r="Q92" s="429"/>
      <c r="R92" s="1"/>
      <c r="S92" s="1"/>
      <c r="T92" s="1"/>
      <c r="U92" s="1"/>
      <c r="V92" s="1"/>
      <c r="W92" s="1"/>
      <c r="X92" s="15"/>
      <c r="Y92" s="15"/>
      <c r="Z92" s="15"/>
      <c r="AA92" s="15"/>
      <c r="AB92" s="15"/>
      <c r="AC92" s="15"/>
      <c r="AD92" s="15"/>
      <c r="AE92" s="15"/>
      <c r="AF92" s="15"/>
      <c r="AG92" s="15"/>
      <c r="AH92" s="15"/>
      <c r="AI92" s="15"/>
      <c r="AJ92" s="15"/>
      <c r="AK92" s="15"/>
      <c r="AL92" s="15"/>
      <c r="AM92" s="15"/>
      <c r="AN92" s="15"/>
      <c r="AO92" s="15"/>
      <c r="AP92" s="15"/>
      <c r="AQ92" s="15"/>
      <c r="AR92" s="15"/>
      <c r="AS92" s="15"/>
      <c r="AT92" s="15"/>
      <c r="AU92" s="15"/>
      <c r="AV92" s="15"/>
      <c r="AW92" s="15"/>
      <c r="AX92" s="15"/>
      <c r="AY92" s="15"/>
      <c r="AZ92" s="15"/>
      <c r="BA92" s="15"/>
      <c r="BB92" s="15"/>
      <c r="BC92" s="15"/>
      <c r="BD92" s="15"/>
      <c r="BE92" s="15"/>
      <c r="BF92" s="15"/>
      <c r="BG92" s="15"/>
      <c r="BH92" s="15"/>
      <c r="BI92" s="15"/>
      <c r="BJ92" s="15"/>
      <c r="BK92" s="15"/>
      <c r="BL92" s="15"/>
      <c r="BM92" s="15"/>
      <c r="BN92" s="15"/>
      <c r="BO92" s="15"/>
      <c r="BP92" s="15"/>
      <c r="BQ92" s="15"/>
      <c r="BR92" s="15"/>
      <c r="BS92" s="15"/>
      <c r="BT92" s="15"/>
      <c r="BU92" s="15"/>
      <c r="BV92" s="15"/>
      <c r="BW92" s="15"/>
      <c r="BX92" s="15"/>
    </row>
    <row r="93" spans="1:76" ht="24.6" customHeight="1" x14ac:dyDescent="0.25">
      <c r="A93" s="357">
        <f>+'ORDER CONFIRMATION'!A232:U232</f>
        <v>1</v>
      </c>
      <c r="B93" s="468"/>
      <c r="C93" s="468"/>
      <c r="D93" s="468"/>
      <c r="E93" s="468"/>
      <c r="F93" s="468"/>
      <c r="G93" s="468"/>
      <c r="H93" s="468"/>
      <c r="I93" s="468"/>
      <c r="J93" s="468"/>
      <c r="K93" s="468"/>
      <c r="L93" s="468"/>
      <c r="M93" s="468"/>
      <c r="N93" s="468"/>
      <c r="O93" s="468"/>
      <c r="P93" s="468"/>
      <c r="Q93" s="469"/>
      <c r="X93" s="15"/>
      <c r="Y93" s="15"/>
      <c r="Z93" s="15"/>
      <c r="AA93" s="15"/>
      <c r="AB93" s="15"/>
      <c r="AC93" s="15"/>
      <c r="AD93" s="15"/>
      <c r="AE93" s="15"/>
      <c r="AF93" s="15"/>
      <c r="AG93" s="15"/>
      <c r="AH93" s="15"/>
      <c r="AI93" s="15"/>
      <c r="AJ93" s="15"/>
      <c r="AK93" s="15"/>
      <c r="AL93" s="15"/>
      <c r="AM93" s="15"/>
      <c r="AN93" s="15"/>
      <c r="AO93" s="15"/>
      <c r="AP93" s="15"/>
      <c r="AQ93" s="15"/>
      <c r="AR93" s="15"/>
      <c r="AS93" s="15"/>
      <c r="AT93" s="15"/>
      <c r="AU93" s="15"/>
      <c r="AV93" s="15"/>
      <c r="AW93" s="15"/>
      <c r="AX93" s="15"/>
      <c r="AY93" s="15"/>
      <c r="AZ93" s="15"/>
      <c r="BA93" s="15"/>
      <c r="BB93" s="15"/>
      <c r="BC93" s="15"/>
      <c r="BD93" s="15"/>
      <c r="BE93" s="15"/>
      <c r="BF93" s="15"/>
      <c r="BG93" s="15"/>
      <c r="BH93" s="15"/>
      <c r="BI93" s="15"/>
      <c r="BJ93" s="15"/>
      <c r="BK93" s="15"/>
      <c r="BL93" s="15"/>
      <c r="BM93" s="15"/>
      <c r="BN93" s="15"/>
      <c r="BO93" s="15"/>
      <c r="BP93" s="15"/>
      <c r="BQ93" s="15"/>
      <c r="BR93" s="15"/>
      <c r="BS93" s="15"/>
      <c r="BT93" s="15"/>
      <c r="BU93" s="15"/>
      <c r="BV93" s="15"/>
      <c r="BW93" s="15"/>
      <c r="BX93" s="15"/>
    </row>
    <row r="94" spans="1:76" ht="24.6" customHeight="1" x14ac:dyDescent="0.25">
      <c r="A94" s="352">
        <f>+'ORDER CONFIRMATION'!A233:U233</f>
        <v>2</v>
      </c>
      <c r="B94" s="453"/>
      <c r="C94" s="453"/>
      <c r="D94" s="453"/>
      <c r="E94" s="453"/>
      <c r="F94" s="453"/>
      <c r="G94" s="453"/>
      <c r="H94" s="453"/>
      <c r="I94" s="453"/>
      <c r="J94" s="453"/>
      <c r="K94" s="453"/>
      <c r="L94" s="453"/>
      <c r="M94" s="453"/>
      <c r="N94" s="453"/>
      <c r="O94" s="453"/>
      <c r="P94" s="453"/>
      <c r="Q94" s="454"/>
      <c r="X94" s="15"/>
      <c r="Y94" s="15"/>
      <c r="Z94" s="15"/>
      <c r="AA94" s="15"/>
      <c r="AB94" s="15"/>
      <c r="AC94" s="15"/>
      <c r="AD94" s="15"/>
      <c r="AE94" s="15"/>
      <c r="AF94" s="15"/>
      <c r="AG94" s="15"/>
      <c r="AH94" s="15"/>
      <c r="AI94" s="15"/>
      <c r="AJ94" s="15"/>
      <c r="AK94" s="15"/>
      <c r="AL94" s="15"/>
      <c r="AM94" s="15"/>
      <c r="AN94" s="15"/>
      <c r="AO94" s="15"/>
      <c r="AP94" s="15"/>
      <c r="AQ94" s="15"/>
      <c r="AR94" s="15"/>
      <c r="AS94" s="15"/>
      <c r="AT94" s="15"/>
      <c r="AU94" s="15"/>
      <c r="AV94" s="15"/>
      <c r="AW94" s="15"/>
      <c r="AX94" s="15"/>
      <c r="AY94" s="15"/>
      <c r="AZ94" s="15"/>
      <c r="BA94" s="15"/>
      <c r="BB94" s="15"/>
      <c r="BC94" s="15"/>
      <c r="BD94" s="15"/>
      <c r="BE94" s="15"/>
      <c r="BF94" s="15"/>
      <c r="BG94" s="15"/>
      <c r="BH94" s="15"/>
      <c r="BI94" s="15"/>
      <c r="BJ94" s="15"/>
      <c r="BK94" s="15"/>
      <c r="BL94" s="15"/>
      <c r="BM94" s="15"/>
      <c r="BN94" s="15"/>
      <c r="BO94" s="15"/>
      <c r="BP94" s="15"/>
      <c r="BQ94" s="15"/>
      <c r="BR94" s="15"/>
      <c r="BS94" s="15"/>
      <c r="BT94" s="15"/>
      <c r="BU94" s="15"/>
      <c r="BV94" s="15"/>
      <c r="BW94" s="15"/>
      <c r="BX94" s="15"/>
    </row>
    <row r="95" spans="1:76" ht="24.6" customHeight="1" x14ac:dyDescent="0.25">
      <c r="A95" s="352">
        <f>+'ORDER CONFIRMATION'!A234:U234</f>
        <v>3</v>
      </c>
      <c r="B95" s="453"/>
      <c r="C95" s="453"/>
      <c r="D95" s="453"/>
      <c r="E95" s="453"/>
      <c r="F95" s="453"/>
      <c r="G95" s="453"/>
      <c r="H95" s="453"/>
      <c r="I95" s="453"/>
      <c r="J95" s="453"/>
      <c r="K95" s="453"/>
      <c r="L95" s="453"/>
      <c r="M95" s="453"/>
      <c r="N95" s="453"/>
      <c r="O95" s="453"/>
      <c r="P95" s="453"/>
      <c r="Q95" s="454"/>
      <c r="X95" s="15"/>
      <c r="Y95" s="15"/>
      <c r="Z95" s="15"/>
      <c r="AA95" s="15"/>
      <c r="AB95" s="15"/>
      <c r="AC95" s="15"/>
      <c r="AD95" s="15"/>
      <c r="AE95" s="15"/>
      <c r="AF95" s="15"/>
      <c r="AG95" s="15"/>
      <c r="AH95" s="15"/>
      <c r="AI95" s="15"/>
      <c r="AJ95" s="15"/>
      <c r="AK95" s="15"/>
      <c r="AL95" s="15"/>
      <c r="AM95" s="15"/>
      <c r="AN95" s="15"/>
      <c r="AO95" s="15"/>
      <c r="AP95" s="15"/>
      <c r="AQ95" s="15"/>
      <c r="AR95" s="15"/>
      <c r="AS95" s="15"/>
      <c r="AT95" s="15"/>
      <c r="AU95" s="15"/>
      <c r="AV95" s="15"/>
      <c r="AW95" s="15"/>
      <c r="AX95" s="15"/>
      <c r="AY95" s="15"/>
      <c r="AZ95" s="15"/>
      <c r="BA95" s="15"/>
      <c r="BB95" s="15"/>
      <c r="BC95" s="15"/>
      <c r="BD95" s="15"/>
      <c r="BE95" s="15"/>
      <c r="BF95" s="15"/>
      <c r="BG95" s="15"/>
      <c r="BH95" s="15"/>
      <c r="BI95" s="15"/>
      <c r="BJ95" s="15"/>
      <c r="BK95" s="15"/>
      <c r="BL95" s="15"/>
      <c r="BM95" s="15"/>
      <c r="BN95" s="15"/>
      <c r="BO95" s="15"/>
      <c r="BP95" s="15"/>
      <c r="BQ95" s="15"/>
      <c r="BR95" s="15"/>
      <c r="BS95" s="15"/>
      <c r="BT95" s="15"/>
      <c r="BU95" s="15"/>
      <c r="BV95" s="15"/>
      <c r="BW95" s="15"/>
      <c r="BX95" s="15"/>
    </row>
    <row r="96" spans="1:76" ht="24.6" customHeight="1" x14ac:dyDescent="0.25">
      <c r="A96" s="352">
        <f>+'ORDER CONFIRMATION'!A235:U235</f>
        <v>4</v>
      </c>
      <c r="B96" s="453"/>
      <c r="C96" s="453"/>
      <c r="D96" s="453"/>
      <c r="E96" s="453"/>
      <c r="F96" s="453"/>
      <c r="G96" s="453"/>
      <c r="H96" s="453"/>
      <c r="I96" s="453"/>
      <c r="J96" s="453"/>
      <c r="K96" s="453"/>
      <c r="L96" s="453"/>
      <c r="M96" s="453"/>
      <c r="N96" s="453"/>
      <c r="O96" s="453"/>
      <c r="P96" s="453"/>
      <c r="Q96" s="454"/>
      <c r="X96" s="15"/>
      <c r="Y96" s="15"/>
      <c r="Z96" s="15"/>
      <c r="AA96" s="15"/>
      <c r="AB96" s="15"/>
      <c r="AC96" s="15"/>
      <c r="AD96" s="15"/>
      <c r="AE96" s="15"/>
      <c r="AF96" s="15"/>
      <c r="AG96" s="15"/>
      <c r="AH96" s="15"/>
      <c r="AI96" s="15"/>
      <c r="AJ96" s="15"/>
      <c r="AK96" s="15"/>
      <c r="AL96" s="15"/>
      <c r="AM96" s="15"/>
      <c r="AN96" s="15"/>
      <c r="AO96" s="15"/>
      <c r="AP96" s="15"/>
      <c r="AQ96" s="15"/>
      <c r="AR96" s="15"/>
      <c r="AS96" s="15"/>
      <c r="AT96" s="15"/>
      <c r="AU96" s="15"/>
      <c r="AV96" s="15"/>
      <c r="AW96" s="15"/>
      <c r="AX96" s="15"/>
      <c r="AY96" s="15"/>
      <c r="AZ96" s="15"/>
      <c r="BA96" s="15"/>
      <c r="BB96" s="15"/>
      <c r="BC96" s="15"/>
      <c r="BD96" s="15"/>
      <c r="BE96" s="15"/>
      <c r="BF96" s="15"/>
      <c r="BG96" s="15"/>
      <c r="BH96" s="15"/>
      <c r="BI96" s="15"/>
      <c r="BJ96" s="15"/>
      <c r="BK96" s="15"/>
      <c r="BL96" s="15"/>
      <c r="BM96" s="15"/>
      <c r="BN96" s="15"/>
      <c r="BO96" s="15"/>
      <c r="BP96" s="15"/>
      <c r="BQ96" s="15"/>
      <c r="BR96" s="15"/>
      <c r="BS96" s="15"/>
      <c r="BT96" s="15"/>
      <c r="BU96" s="15"/>
      <c r="BV96" s="15"/>
      <c r="BW96" s="15"/>
      <c r="BX96" s="15"/>
    </row>
    <row r="97" spans="1:76" ht="24.6" customHeight="1" x14ac:dyDescent="0.25">
      <c r="A97" s="352">
        <f>+'ORDER CONFIRMATION'!A236:U236</f>
        <v>5</v>
      </c>
      <c r="B97" s="453"/>
      <c r="C97" s="453"/>
      <c r="D97" s="453"/>
      <c r="E97" s="453"/>
      <c r="F97" s="453"/>
      <c r="G97" s="453"/>
      <c r="H97" s="453"/>
      <c r="I97" s="453"/>
      <c r="J97" s="453"/>
      <c r="K97" s="453"/>
      <c r="L97" s="453"/>
      <c r="M97" s="453"/>
      <c r="N97" s="453"/>
      <c r="O97" s="453"/>
      <c r="P97" s="453"/>
      <c r="Q97" s="454"/>
      <c r="X97" s="15"/>
      <c r="Y97" s="15"/>
      <c r="Z97" s="15"/>
      <c r="AA97" s="15"/>
      <c r="AB97" s="15"/>
      <c r="AC97" s="15"/>
      <c r="AD97" s="15"/>
      <c r="AE97" s="15"/>
      <c r="AF97" s="15"/>
      <c r="AG97" s="15"/>
      <c r="AH97" s="15"/>
      <c r="AI97" s="15"/>
      <c r="AJ97" s="15"/>
      <c r="AK97" s="15"/>
      <c r="AL97" s="15"/>
      <c r="AM97" s="15"/>
      <c r="AN97" s="15"/>
      <c r="AO97" s="15"/>
      <c r="AP97" s="15"/>
      <c r="AQ97" s="15"/>
      <c r="AR97" s="15"/>
      <c r="AS97" s="15"/>
      <c r="AT97" s="15"/>
      <c r="AU97" s="15"/>
      <c r="AV97" s="15"/>
      <c r="AW97" s="15"/>
      <c r="AX97" s="15"/>
      <c r="AY97" s="15"/>
      <c r="AZ97" s="15"/>
      <c r="BA97" s="15"/>
      <c r="BB97" s="15"/>
      <c r="BC97" s="15"/>
      <c r="BD97" s="15"/>
      <c r="BE97" s="15"/>
      <c r="BF97" s="15"/>
      <c r="BG97" s="15"/>
      <c r="BH97" s="15"/>
      <c r="BI97" s="15"/>
      <c r="BJ97" s="15"/>
      <c r="BK97" s="15"/>
      <c r="BL97" s="15"/>
      <c r="BM97" s="15"/>
      <c r="BN97" s="15"/>
      <c r="BO97" s="15"/>
      <c r="BP97" s="15"/>
      <c r="BQ97" s="15"/>
      <c r="BR97" s="15"/>
      <c r="BS97" s="15"/>
      <c r="BT97" s="15"/>
      <c r="BU97" s="15"/>
      <c r="BV97" s="15"/>
      <c r="BW97" s="15"/>
      <c r="BX97" s="15"/>
    </row>
    <row r="98" spans="1:76" ht="24.6" customHeight="1" thickBot="1" x14ac:dyDescent="0.3">
      <c r="A98" s="354">
        <f>+'ORDER CONFIRMATION'!A237:U237</f>
        <v>6</v>
      </c>
      <c r="B98" s="451"/>
      <c r="C98" s="451"/>
      <c r="D98" s="451"/>
      <c r="E98" s="451"/>
      <c r="F98" s="451"/>
      <c r="G98" s="451"/>
      <c r="H98" s="451"/>
      <c r="I98" s="451"/>
      <c r="J98" s="451"/>
      <c r="K98" s="451"/>
      <c r="L98" s="451"/>
      <c r="M98" s="451"/>
      <c r="N98" s="451"/>
      <c r="O98" s="451"/>
      <c r="P98" s="451"/>
      <c r="Q98" s="452"/>
      <c r="X98" s="15"/>
      <c r="Y98" s="15"/>
      <c r="Z98" s="15"/>
      <c r="AA98" s="15"/>
      <c r="AB98" s="15"/>
      <c r="AC98" s="15"/>
      <c r="AD98" s="15"/>
      <c r="AE98" s="15"/>
      <c r="AF98" s="15"/>
      <c r="AG98" s="15"/>
      <c r="AH98" s="15"/>
      <c r="AI98" s="15"/>
      <c r="AJ98" s="15"/>
      <c r="AK98" s="15"/>
      <c r="AL98" s="15"/>
      <c r="AM98" s="15"/>
      <c r="AN98" s="15"/>
      <c r="AO98" s="15"/>
      <c r="AP98" s="15"/>
      <c r="AQ98" s="15"/>
      <c r="AR98" s="15"/>
      <c r="AS98" s="15"/>
      <c r="AT98" s="15"/>
      <c r="AU98" s="15"/>
      <c r="AV98" s="15"/>
      <c r="AW98" s="15"/>
      <c r="AX98" s="15"/>
      <c r="AY98" s="15"/>
      <c r="AZ98" s="15"/>
      <c r="BA98" s="15"/>
      <c r="BB98" s="15"/>
      <c r="BC98" s="15"/>
      <c r="BD98" s="15"/>
      <c r="BE98" s="15"/>
      <c r="BF98" s="15"/>
      <c r="BG98" s="15"/>
      <c r="BH98" s="15"/>
      <c r="BI98" s="15"/>
      <c r="BJ98" s="15"/>
      <c r="BK98" s="15"/>
      <c r="BL98" s="15"/>
      <c r="BM98" s="15"/>
      <c r="BN98" s="15"/>
      <c r="BO98" s="15"/>
      <c r="BP98" s="15"/>
      <c r="BQ98" s="15"/>
      <c r="BR98" s="15"/>
      <c r="BS98" s="15"/>
      <c r="BT98" s="15"/>
      <c r="BU98" s="15"/>
      <c r="BV98" s="15"/>
      <c r="BW98" s="15"/>
      <c r="BX98" s="15"/>
    </row>
    <row r="99" spans="1:76" ht="26.1" customHeight="1" thickBot="1" x14ac:dyDescent="0.3"/>
    <row r="100" spans="1:76" s="12" customFormat="1" ht="24" thickBot="1" x14ac:dyDescent="0.3">
      <c r="A100" s="357" t="str">
        <f>+'ORDER CONFIRMATION'!A239:U239</f>
        <v>EXTRAS TO SITE? (Trims/cills/knock ons etc)</v>
      </c>
      <c r="B100" s="358"/>
      <c r="C100" s="358"/>
      <c r="D100" s="358"/>
      <c r="E100" s="358"/>
      <c r="F100" s="358"/>
      <c r="G100" s="358"/>
      <c r="H100" s="358"/>
      <c r="I100" s="358"/>
      <c r="J100" s="358"/>
      <c r="K100" s="358"/>
      <c r="L100" s="358"/>
      <c r="M100" s="358"/>
      <c r="N100" s="358"/>
      <c r="O100" s="358"/>
      <c r="P100" s="358"/>
      <c r="Q100" s="359"/>
      <c r="R100" s="1"/>
      <c r="S100" s="1"/>
      <c r="T100" s="1"/>
      <c r="U100" s="1"/>
      <c r="V100" s="1"/>
      <c r="W100" s="1"/>
      <c r="X100" s="15"/>
      <c r="Y100" s="15"/>
      <c r="Z100" s="15"/>
      <c r="AA100" s="15"/>
      <c r="AB100" s="15"/>
      <c r="AC100" s="15"/>
      <c r="AD100" s="15"/>
      <c r="AE100" s="15"/>
      <c r="AF100" s="15"/>
      <c r="AG100" s="15"/>
      <c r="AH100" s="15"/>
      <c r="AI100" s="15"/>
      <c r="AJ100" s="15"/>
      <c r="AK100" s="15"/>
      <c r="AL100" s="15"/>
      <c r="AM100" s="15"/>
      <c r="AN100" s="15"/>
      <c r="AO100" s="15"/>
      <c r="AP100" s="15"/>
      <c r="AQ100" s="15"/>
      <c r="AR100" s="15"/>
      <c r="AS100" s="15"/>
      <c r="AT100" s="15"/>
      <c r="AU100" s="15"/>
      <c r="AV100" s="15"/>
      <c r="AW100" s="15"/>
      <c r="AX100" s="15"/>
      <c r="AY100" s="15"/>
      <c r="AZ100" s="15"/>
      <c r="BA100" s="15"/>
      <c r="BB100" s="15"/>
      <c r="BC100" s="15"/>
      <c r="BD100" s="15"/>
      <c r="BE100" s="15"/>
      <c r="BF100" s="15"/>
      <c r="BG100" s="15"/>
      <c r="BH100" s="15"/>
      <c r="BI100" s="15"/>
      <c r="BJ100" s="15"/>
      <c r="BK100" s="15"/>
      <c r="BL100" s="15"/>
      <c r="BM100" s="15"/>
      <c r="BN100" s="15"/>
      <c r="BO100" s="15"/>
      <c r="BP100" s="15"/>
      <c r="BQ100" s="15"/>
      <c r="BR100" s="15"/>
      <c r="BS100" s="15"/>
      <c r="BT100" s="15"/>
      <c r="BU100" s="15"/>
      <c r="BV100" s="15"/>
      <c r="BW100" s="15"/>
      <c r="BX100" s="15"/>
    </row>
    <row r="101" spans="1:76" ht="24.6" customHeight="1" x14ac:dyDescent="0.25">
      <c r="A101" s="357">
        <f>+'ORDER CONFIRMATION'!A240:U240</f>
        <v>1</v>
      </c>
      <c r="B101" s="358"/>
      <c r="C101" s="358"/>
      <c r="D101" s="358"/>
      <c r="E101" s="358"/>
      <c r="F101" s="358"/>
      <c r="G101" s="358"/>
      <c r="H101" s="358"/>
      <c r="I101" s="358"/>
      <c r="J101" s="358"/>
      <c r="K101" s="358"/>
      <c r="L101" s="358"/>
      <c r="M101" s="358"/>
      <c r="N101" s="358"/>
      <c r="O101" s="358"/>
      <c r="P101" s="358"/>
      <c r="Q101" s="359"/>
      <c r="X101" s="15"/>
      <c r="Y101" s="15"/>
      <c r="Z101" s="15"/>
      <c r="AA101" s="15"/>
      <c r="AB101" s="15"/>
      <c r="AC101" s="15"/>
      <c r="AD101" s="15"/>
      <c r="AE101" s="15"/>
      <c r="AF101" s="15"/>
      <c r="AG101" s="15"/>
      <c r="AH101" s="15"/>
      <c r="AI101" s="15"/>
      <c r="AJ101" s="15"/>
      <c r="AK101" s="15"/>
      <c r="AL101" s="15"/>
      <c r="AM101" s="15"/>
      <c r="AN101" s="15"/>
      <c r="AO101" s="15"/>
      <c r="AP101" s="15"/>
      <c r="AQ101" s="15"/>
      <c r="AR101" s="15"/>
      <c r="AS101" s="15"/>
      <c r="AT101" s="15"/>
      <c r="AU101" s="15"/>
      <c r="AV101" s="15"/>
      <c r="AW101" s="15"/>
      <c r="AX101" s="15"/>
      <c r="AY101" s="15"/>
      <c r="AZ101" s="15"/>
      <c r="BA101" s="15"/>
      <c r="BB101" s="15"/>
      <c r="BC101" s="15"/>
      <c r="BD101" s="15"/>
      <c r="BE101" s="15"/>
      <c r="BF101" s="15"/>
      <c r="BG101" s="15"/>
      <c r="BH101" s="15"/>
      <c r="BI101" s="15"/>
      <c r="BJ101" s="15"/>
      <c r="BK101" s="15"/>
      <c r="BL101" s="15"/>
      <c r="BM101" s="15"/>
      <c r="BN101" s="15"/>
      <c r="BO101" s="15"/>
      <c r="BP101" s="15"/>
      <c r="BQ101" s="15"/>
      <c r="BR101" s="15"/>
      <c r="BS101" s="15"/>
      <c r="BT101" s="15"/>
      <c r="BU101" s="15"/>
      <c r="BV101" s="15"/>
      <c r="BW101" s="15"/>
      <c r="BX101" s="15"/>
    </row>
    <row r="102" spans="1:76" ht="24.6" customHeight="1" x14ac:dyDescent="0.25">
      <c r="A102" s="352">
        <f>+'ORDER CONFIRMATION'!A241:U241</f>
        <v>2</v>
      </c>
      <c r="B102" s="317"/>
      <c r="C102" s="317"/>
      <c r="D102" s="317"/>
      <c r="E102" s="317"/>
      <c r="F102" s="317"/>
      <c r="G102" s="317"/>
      <c r="H102" s="317"/>
      <c r="I102" s="317"/>
      <c r="J102" s="317"/>
      <c r="K102" s="317"/>
      <c r="L102" s="317"/>
      <c r="M102" s="317"/>
      <c r="N102" s="317"/>
      <c r="O102" s="317"/>
      <c r="P102" s="317"/>
      <c r="Q102" s="353"/>
      <c r="X102" s="15"/>
      <c r="Y102" s="15"/>
      <c r="Z102" s="15"/>
      <c r="AA102" s="15"/>
      <c r="AB102" s="15"/>
      <c r="AC102" s="15"/>
      <c r="AD102" s="15"/>
      <c r="AE102" s="15"/>
      <c r="AF102" s="15"/>
      <c r="AG102" s="15"/>
      <c r="AH102" s="15"/>
      <c r="AI102" s="15"/>
      <c r="AJ102" s="15"/>
      <c r="AK102" s="15"/>
      <c r="AL102" s="15"/>
      <c r="AM102" s="15"/>
      <c r="AN102" s="15"/>
      <c r="AO102" s="15"/>
      <c r="AP102" s="15"/>
      <c r="AQ102" s="15"/>
      <c r="AR102" s="15"/>
      <c r="AS102" s="15"/>
      <c r="AT102" s="15"/>
      <c r="AU102" s="15"/>
      <c r="AV102" s="15"/>
      <c r="AW102" s="15"/>
      <c r="AX102" s="15"/>
      <c r="AY102" s="15"/>
      <c r="AZ102" s="15"/>
      <c r="BA102" s="15"/>
      <c r="BB102" s="15"/>
      <c r="BC102" s="15"/>
      <c r="BD102" s="15"/>
      <c r="BE102" s="15"/>
      <c r="BF102" s="15"/>
      <c r="BG102" s="15"/>
      <c r="BH102" s="15"/>
      <c r="BI102" s="15"/>
      <c r="BJ102" s="15"/>
      <c r="BK102" s="15"/>
      <c r="BL102" s="15"/>
      <c r="BM102" s="15"/>
      <c r="BN102" s="15"/>
      <c r="BO102" s="15"/>
      <c r="BP102" s="15"/>
      <c r="BQ102" s="15"/>
      <c r="BR102" s="15"/>
      <c r="BS102" s="15"/>
      <c r="BT102" s="15"/>
      <c r="BU102" s="15"/>
      <c r="BV102" s="15"/>
      <c r="BW102" s="15"/>
      <c r="BX102" s="15"/>
    </row>
    <row r="103" spans="1:76" ht="24.6" customHeight="1" x14ac:dyDescent="0.25">
      <c r="A103" s="352">
        <f>+'ORDER CONFIRMATION'!A242:U242</f>
        <v>3</v>
      </c>
      <c r="B103" s="317"/>
      <c r="C103" s="317"/>
      <c r="D103" s="317"/>
      <c r="E103" s="317"/>
      <c r="F103" s="317"/>
      <c r="G103" s="317"/>
      <c r="H103" s="317"/>
      <c r="I103" s="317"/>
      <c r="J103" s="317"/>
      <c r="K103" s="317"/>
      <c r="L103" s="317"/>
      <c r="M103" s="317"/>
      <c r="N103" s="317"/>
      <c r="O103" s="317"/>
      <c r="P103" s="317"/>
      <c r="Q103" s="353"/>
      <c r="X103" s="15"/>
      <c r="Y103" s="15"/>
      <c r="Z103" s="15"/>
      <c r="AA103" s="15"/>
      <c r="AB103" s="15"/>
      <c r="AC103" s="15"/>
      <c r="AD103" s="15"/>
      <c r="AE103" s="15"/>
      <c r="AF103" s="15"/>
      <c r="AG103" s="15"/>
      <c r="AH103" s="15"/>
      <c r="AI103" s="15"/>
      <c r="AJ103" s="15"/>
      <c r="AK103" s="15"/>
      <c r="AL103" s="15"/>
      <c r="AM103" s="15"/>
      <c r="AN103" s="15"/>
      <c r="AO103" s="15"/>
      <c r="AP103" s="15"/>
      <c r="AQ103" s="15"/>
      <c r="AR103" s="15"/>
      <c r="AS103" s="15"/>
      <c r="AT103" s="15"/>
      <c r="AU103" s="15"/>
      <c r="AV103" s="15"/>
      <c r="AW103" s="15"/>
      <c r="AX103" s="15"/>
      <c r="AY103" s="15"/>
      <c r="AZ103" s="15"/>
      <c r="BA103" s="15"/>
      <c r="BB103" s="15"/>
      <c r="BC103" s="15"/>
      <c r="BD103" s="15"/>
      <c r="BE103" s="15"/>
      <c r="BF103" s="15"/>
      <c r="BG103" s="15"/>
      <c r="BH103" s="15"/>
      <c r="BI103" s="15"/>
      <c r="BJ103" s="15"/>
      <c r="BK103" s="15"/>
      <c r="BL103" s="15"/>
      <c r="BM103" s="15"/>
      <c r="BN103" s="15"/>
      <c r="BO103" s="15"/>
      <c r="BP103" s="15"/>
      <c r="BQ103" s="15"/>
      <c r="BR103" s="15"/>
      <c r="BS103" s="15"/>
      <c r="BT103" s="15"/>
      <c r="BU103" s="15"/>
      <c r="BV103" s="15"/>
      <c r="BW103" s="15"/>
      <c r="BX103" s="15"/>
    </row>
    <row r="104" spans="1:76" ht="24.6" customHeight="1" x14ac:dyDescent="0.25">
      <c r="A104" s="352">
        <f>+'ORDER CONFIRMATION'!A243:U243</f>
        <v>4</v>
      </c>
      <c r="B104" s="317"/>
      <c r="C104" s="317"/>
      <c r="D104" s="317"/>
      <c r="E104" s="317"/>
      <c r="F104" s="317"/>
      <c r="G104" s="317"/>
      <c r="H104" s="317"/>
      <c r="I104" s="317"/>
      <c r="J104" s="317"/>
      <c r="K104" s="317"/>
      <c r="L104" s="317"/>
      <c r="M104" s="317"/>
      <c r="N104" s="317"/>
      <c r="O104" s="317"/>
      <c r="P104" s="317"/>
      <c r="Q104" s="353"/>
      <c r="X104" s="15"/>
      <c r="Y104" s="15"/>
      <c r="Z104" s="15"/>
      <c r="AA104" s="15"/>
      <c r="AB104" s="15"/>
      <c r="AC104" s="15"/>
      <c r="AD104" s="15"/>
      <c r="AE104" s="15"/>
      <c r="AF104" s="15"/>
      <c r="AG104" s="15"/>
      <c r="AH104" s="15"/>
      <c r="AI104" s="15"/>
      <c r="AJ104" s="15"/>
      <c r="AK104" s="15"/>
      <c r="AL104" s="15"/>
      <c r="AM104" s="15"/>
      <c r="AN104" s="15"/>
      <c r="AO104" s="15"/>
      <c r="AP104" s="15"/>
      <c r="AQ104" s="15"/>
      <c r="AR104" s="15"/>
      <c r="AS104" s="15"/>
      <c r="AT104" s="15"/>
      <c r="AU104" s="15"/>
      <c r="AV104" s="15"/>
      <c r="AW104" s="15"/>
      <c r="AX104" s="15"/>
      <c r="AY104" s="15"/>
      <c r="AZ104" s="15"/>
      <c r="BA104" s="15"/>
      <c r="BB104" s="15"/>
      <c r="BC104" s="15"/>
      <c r="BD104" s="15"/>
      <c r="BE104" s="15"/>
      <c r="BF104" s="15"/>
      <c r="BG104" s="15"/>
      <c r="BH104" s="15"/>
      <c r="BI104" s="15"/>
      <c r="BJ104" s="15"/>
      <c r="BK104" s="15"/>
      <c r="BL104" s="15"/>
      <c r="BM104" s="15"/>
      <c r="BN104" s="15"/>
      <c r="BO104" s="15"/>
      <c r="BP104" s="15"/>
      <c r="BQ104" s="15"/>
      <c r="BR104" s="15"/>
      <c r="BS104" s="15"/>
      <c r="BT104" s="15"/>
      <c r="BU104" s="15"/>
      <c r="BV104" s="15"/>
      <c r="BW104" s="15"/>
      <c r="BX104" s="15"/>
    </row>
    <row r="105" spans="1:76" ht="24.6" customHeight="1" x14ac:dyDescent="0.25">
      <c r="A105" s="352">
        <f>+'ORDER CONFIRMATION'!A244:U244</f>
        <v>5</v>
      </c>
      <c r="B105" s="317"/>
      <c r="C105" s="317"/>
      <c r="D105" s="317"/>
      <c r="E105" s="317"/>
      <c r="F105" s="317"/>
      <c r="G105" s="317"/>
      <c r="H105" s="317"/>
      <c r="I105" s="317"/>
      <c r="J105" s="317"/>
      <c r="K105" s="317"/>
      <c r="L105" s="317"/>
      <c r="M105" s="317"/>
      <c r="N105" s="317"/>
      <c r="O105" s="317"/>
      <c r="P105" s="317"/>
      <c r="Q105" s="353"/>
      <c r="X105" s="15"/>
      <c r="Y105" s="15"/>
      <c r="Z105" s="15"/>
      <c r="AA105" s="15"/>
      <c r="AB105" s="15"/>
      <c r="AC105" s="15"/>
      <c r="AD105" s="15"/>
      <c r="AE105" s="15"/>
      <c r="AF105" s="15"/>
      <c r="AG105" s="15"/>
      <c r="AH105" s="15"/>
      <c r="AI105" s="15"/>
      <c r="AJ105" s="15"/>
      <c r="AK105" s="15"/>
      <c r="AL105" s="15"/>
      <c r="AM105" s="15"/>
      <c r="AN105" s="15"/>
      <c r="AO105" s="15"/>
      <c r="AP105" s="15"/>
      <c r="AQ105" s="15"/>
      <c r="AR105" s="15"/>
      <c r="AS105" s="15"/>
      <c r="AT105" s="15"/>
      <c r="AU105" s="15"/>
      <c r="AV105" s="15"/>
      <c r="AW105" s="15"/>
      <c r="AX105" s="15"/>
      <c r="AY105" s="15"/>
      <c r="AZ105" s="15"/>
      <c r="BA105" s="15"/>
      <c r="BB105" s="15"/>
      <c r="BC105" s="15"/>
      <c r="BD105" s="15"/>
      <c r="BE105" s="15"/>
      <c r="BF105" s="15"/>
      <c r="BG105" s="15"/>
      <c r="BH105" s="15"/>
      <c r="BI105" s="15"/>
      <c r="BJ105" s="15"/>
      <c r="BK105" s="15"/>
      <c r="BL105" s="15"/>
      <c r="BM105" s="15"/>
      <c r="BN105" s="15"/>
      <c r="BO105" s="15"/>
      <c r="BP105" s="15"/>
      <c r="BQ105" s="15"/>
      <c r="BR105" s="15"/>
      <c r="BS105" s="15"/>
      <c r="BT105" s="15"/>
      <c r="BU105" s="15"/>
      <c r="BV105" s="15"/>
      <c r="BW105" s="15"/>
      <c r="BX105" s="15"/>
    </row>
    <row r="106" spans="1:76" ht="24.6" customHeight="1" thickBot="1" x14ac:dyDescent="0.3">
      <c r="A106" s="354">
        <f>+'ORDER CONFIRMATION'!A245:U245</f>
        <v>6</v>
      </c>
      <c r="B106" s="355"/>
      <c r="C106" s="355"/>
      <c r="D106" s="355"/>
      <c r="E106" s="355"/>
      <c r="F106" s="355"/>
      <c r="G106" s="355"/>
      <c r="H106" s="355"/>
      <c r="I106" s="355"/>
      <c r="J106" s="355"/>
      <c r="K106" s="355"/>
      <c r="L106" s="355"/>
      <c r="M106" s="355"/>
      <c r="N106" s="355"/>
      <c r="O106" s="355"/>
      <c r="P106" s="355"/>
      <c r="Q106" s="356"/>
      <c r="X106" s="15"/>
      <c r="Y106" s="15"/>
      <c r="Z106" s="15"/>
      <c r="AA106" s="15"/>
      <c r="AB106" s="15"/>
      <c r="AC106" s="15"/>
      <c r="AD106" s="15"/>
      <c r="AE106" s="15"/>
      <c r="AF106" s="15"/>
      <c r="AG106" s="15"/>
      <c r="AH106" s="15"/>
      <c r="AI106" s="15"/>
      <c r="AJ106" s="15"/>
      <c r="AK106" s="15"/>
      <c r="AL106" s="15"/>
      <c r="AM106" s="15"/>
      <c r="AN106" s="15"/>
      <c r="AO106" s="15"/>
      <c r="AP106" s="15"/>
      <c r="AQ106" s="15"/>
      <c r="AR106" s="15"/>
      <c r="AS106" s="15"/>
      <c r="AT106" s="15"/>
      <c r="AU106" s="15"/>
      <c r="AV106" s="15"/>
      <c r="AW106" s="15"/>
      <c r="AX106" s="15"/>
      <c r="AY106" s="15"/>
      <c r="AZ106" s="15"/>
      <c r="BA106" s="15"/>
      <c r="BB106" s="15"/>
      <c r="BC106" s="15"/>
      <c r="BD106" s="15"/>
      <c r="BE106" s="15"/>
      <c r="BF106" s="15"/>
      <c r="BG106" s="15"/>
      <c r="BH106" s="15"/>
      <c r="BI106" s="15"/>
      <c r="BJ106" s="15"/>
      <c r="BK106" s="15"/>
      <c r="BL106" s="15"/>
      <c r="BM106" s="15"/>
      <c r="BN106" s="15"/>
      <c r="BO106" s="15"/>
      <c r="BP106" s="15"/>
      <c r="BQ106" s="15"/>
      <c r="BR106" s="15"/>
      <c r="BS106" s="15"/>
      <c r="BT106" s="15"/>
      <c r="BU106" s="15"/>
      <c r="BV106" s="15"/>
      <c r="BW106" s="15"/>
      <c r="BX106" s="15"/>
    </row>
    <row r="108" spans="1:76" ht="15.75" thickBot="1" x14ac:dyDescent="0.3"/>
    <row r="109" spans="1:76" ht="48.6" customHeight="1" thickBot="1" x14ac:dyDescent="0.3">
      <c r="A109" s="350" t="s">
        <v>108</v>
      </c>
      <c r="B109" s="351"/>
      <c r="C109" s="351"/>
      <c r="D109" s="351"/>
      <c r="E109" s="351"/>
      <c r="F109" s="351"/>
      <c r="G109" s="351"/>
      <c r="H109" s="351"/>
      <c r="I109" s="351"/>
      <c r="J109" s="351"/>
      <c r="K109" s="351"/>
      <c r="L109" s="351"/>
      <c r="M109" s="351"/>
      <c r="N109" s="351"/>
      <c r="O109" s="351"/>
      <c r="P109" s="351"/>
      <c r="Q109" s="429"/>
    </row>
    <row r="110" spans="1:76" ht="78.599999999999994" customHeight="1" thickBot="1" x14ac:dyDescent="0.3">
      <c r="A110" s="448" t="str">
        <f>+'ORDER CONFIRMATION'!A248:A248</f>
        <v>FACTORY ORDER</v>
      </c>
      <c r="B110" s="449"/>
      <c r="C110" s="450"/>
      <c r="D110" s="115" t="e">
        <f>+'ORDER CONFIRMATION'!#REF!</f>
        <v>#REF!</v>
      </c>
      <c r="E110" s="396" t="e">
        <f>+'ORDER CONFIRMATION'!B248:C248</f>
        <v>#VALUE!</v>
      </c>
      <c r="F110" s="394"/>
      <c r="G110" s="395"/>
      <c r="H110" s="115" t="s">
        <v>107</v>
      </c>
      <c r="I110" s="396" t="e">
        <f>+'ORDER CONFIRMATION'!E248:G248</f>
        <v>#VALUE!</v>
      </c>
      <c r="J110" s="397"/>
      <c r="K110" s="397"/>
      <c r="L110" s="397"/>
      <c r="M110" s="115" t="str">
        <f>+'ORDER CONFIRMATION'!H248</f>
        <v>YES / NO</v>
      </c>
      <c r="N110" s="396" t="e">
        <f>+'ORDER CONFIRMATION'!I248:J248</f>
        <v>#VALUE!</v>
      </c>
      <c r="O110" s="398"/>
      <c r="P110" s="398"/>
      <c r="Q110" s="115" t="e">
        <f>+'ORDER CONFIRMATION'!#REF!</f>
        <v>#REF!</v>
      </c>
    </row>
    <row r="111" spans="1:76" ht="94.35" customHeight="1" thickBot="1" x14ac:dyDescent="0.3">
      <c r="A111" s="448" t="s">
        <v>99</v>
      </c>
      <c r="B111" s="449"/>
      <c r="C111" s="450"/>
      <c r="D111" s="115" t="s">
        <v>107</v>
      </c>
      <c r="E111" s="387" t="s">
        <v>98</v>
      </c>
      <c r="F111" s="385"/>
      <c r="G111" s="386"/>
      <c r="H111" s="115" t="s">
        <v>107</v>
      </c>
      <c r="I111" s="387" t="s">
        <v>98</v>
      </c>
      <c r="J111" s="388"/>
      <c r="K111" s="388"/>
      <c r="L111" s="388"/>
      <c r="M111" s="115" t="s">
        <v>107</v>
      </c>
      <c r="N111" s="387" t="s">
        <v>98</v>
      </c>
      <c r="O111" s="389"/>
      <c r="P111" s="389"/>
      <c r="Q111" s="115" t="s">
        <v>107</v>
      </c>
    </row>
  </sheetData>
  <mergeCells count="58">
    <mergeCell ref="T4:V4"/>
    <mergeCell ref="A97:Q97"/>
    <mergeCell ref="A7:K7"/>
    <mergeCell ref="A69:Q69"/>
    <mergeCell ref="A70:Q70"/>
    <mergeCell ref="A8:K8"/>
    <mergeCell ref="A9:K9"/>
    <mergeCell ref="A10:Q10"/>
    <mergeCell ref="A12:Q12"/>
    <mergeCell ref="A13:Q13"/>
    <mergeCell ref="A14:Q14"/>
    <mergeCell ref="A15:Q15"/>
    <mergeCell ref="N67:P67"/>
    <mergeCell ref="A72:Q72"/>
    <mergeCell ref="A71:Q71"/>
    <mergeCell ref="A73:Q73"/>
    <mergeCell ref="A1:M1"/>
    <mergeCell ref="A5:K5"/>
    <mergeCell ref="A6:K6"/>
    <mergeCell ref="A2:Q2"/>
    <mergeCell ref="A3:Q3"/>
    <mergeCell ref="A111:C111"/>
    <mergeCell ref="E111:G111"/>
    <mergeCell ref="I111:L111"/>
    <mergeCell ref="N111:P111"/>
    <mergeCell ref="A90:Q90"/>
    <mergeCell ref="A91:Q91"/>
    <mergeCell ref="A92:Q92"/>
    <mergeCell ref="A93:Q93"/>
    <mergeCell ref="A100:Q100"/>
    <mergeCell ref="A101:Q101"/>
    <mergeCell ref="A102:Q102"/>
    <mergeCell ref="A104:Q104"/>
    <mergeCell ref="A105:Q105"/>
    <mergeCell ref="A106:Q106"/>
    <mergeCell ref="A103:Q103"/>
    <mergeCell ref="A95:Q95"/>
    <mergeCell ref="A74:Q74"/>
    <mergeCell ref="A80:Q80"/>
    <mergeCell ref="F76:H76"/>
    <mergeCell ref="B76:E76"/>
    <mergeCell ref="I76:N77"/>
    <mergeCell ref="A81:Q81"/>
    <mergeCell ref="A82:Q82"/>
    <mergeCell ref="A83:Q83"/>
    <mergeCell ref="A109:Q109"/>
    <mergeCell ref="A110:C110"/>
    <mergeCell ref="E110:G110"/>
    <mergeCell ref="I110:L110"/>
    <mergeCell ref="N110:P110"/>
    <mergeCell ref="A98:Q98"/>
    <mergeCell ref="A84:Q84"/>
    <mergeCell ref="A85:Q85"/>
    <mergeCell ref="A89:Q89"/>
    <mergeCell ref="A94:Q94"/>
    <mergeCell ref="A96:Q96"/>
    <mergeCell ref="A87:Q87"/>
    <mergeCell ref="A88:Q88"/>
  </mergeCells>
  <pageMargins left="0.31496062992125984" right="0.31496062992125984" top="0.43307086614173229" bottom="0.43307086614173229" header="0.19685039370078741" footer="0.19685039370078741"/>
  <pageSetup paperSize="9" scale="38" fitToHeight="0" orientation="landscape" horizontalDpi="4294967295" verticalDpi="4294967295" r:id="rId1"/>
  <rowBreaks count="1" manualBreakCount="1">
    <brk id="77"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FiveitemWI">
                <anchor moveWithCells="1" sizeWithCells="1">
                  <from>
                    <xdr:col>19</xdr:col>
                    <xdr:colOff>295275</xdr:colOff>
                    <xdr:row>5</xdr:row>
                    <xdr:rowOff>152400</xdr:rowOff>
                  </from>
                  <to>
                    <xdr:col>20</xdr:col>
                    <xdr:colOff>57150</xdr:colOff>
                    <xdr:row>8</xdr:row>
                    <xdr:rowOff>180975</xdr:rowOff>
                  </to>
                </anchor>
              </controlPr>
            </control>
          </mc:Choice>
        </mc:AlternateContent>
        <mc:AlternateContent xmlns:mc="http://schemas.openxmlformats.org/markup-compatibility/2006">
          <mc:Choice Requires="x14">
            <control shapeId="4098" r:id="rId5" name="Button 2">
              <controlPr defaultSize="0" print="0" autoFill="0" autoPict="0" macro="[0]!TenitemWI">
                <anchor moveWithCells="1" sizeWithCells="1">
                  <from>
                    <xdr:col>19</xdr:col>
                    <xdr:colOff>304800</xdr:colOff>
                    <xdr:row>10</xdr:row>
                    <xdr:rowOff>66675</xdr:rowOff>
                  </from>
                  <to>
                    <xdr:col>20</xdr:col>
                    <xdr:colOff>95250</xdr:colOff>
                    <xdr:row>13</xdr:row>
                    <xdr:rowOff>180975</xdr:rowOff>
                  </to>
                </anchor>
              </controlPr>
            </control>
          </mc:Choice>
        </mc:AlternateContent>
        <mc:AlternateContent xmlns:mc="http://schemas.openxmlformats.org/markup-compatibility/2006">
          <mc:Choice Requires="x14">
            <control shapeId="4099" r:id="rId6" name="Button 3">
              <controlPr defaultSize="0" print="0" autoFill="0" autoPict="0" macro="[0]!TwentyitemWI">
                <anchor moveWithCells="1" sizeWithCells="1">
                  <from>
                    <xdr:col>21</xdr:col>
                    <xdr:colOff>123825</xdr:colOff>
                    <xdr:row>5</xdr:row>
                    <xdr:rowOff>171450</xdr:rowOff>
                  </from>
                  <to>
                    <xdr:col>21</xdr:col>
                    <xdr:colOff>2076450</xdr:colOff>
                    <xdr:row>8</xdr:row>
                    <xdr:rowOff>219075</xdr:rowOff>
                  </to>
                </anchor>
              </controlPr>
            </control>
          </mc:Choice>
        </mc:AlternateContent>
        <mc:AlternateContent xmlns:mc="http://schemas.openxmlformats.org/markup-compatibility/2006">
          <mc:Choice Requires="x14">
            <control shapeId="4100" r:id="rId7" name="Button 4">
              <controlPr defaultSize="0" print="0" autoFill="0" autoPict="0" macro="[0]!FortyitemWI">
                <anchor moveWithCells="1" sizeWithCells="1">
                  <from>
                    <xdr:col>21</xdr:col>
                    <xdr:colOff>133350</xdr:colOff>
                    <xdr:row>10</xdr:row>
                    <xdr:rowOff>38100</xdr:rowOff>
                  </from>
                  <to>
                    <xdr:col>21</xdr:col>
                    <xdr:colOff>2057400</xdr:colOff>
                    <xdr:row>13</xdr:row>
                    <xdr:rowOff>133350</xdr:rowOff>
                  </to>
                </anchor>
              </controlPr>
            </control>
          </mc:Choice>
        </mc:AlternateContent>
        <mc:AlternateContent xmlns:mc="http://schemas.openxmlformats.org/markup-compatibility/2006">
          <mc:Choice Requires="x14">
            <control shapeId="4101" r:id="rId8" name="Button 5">
              <controlPr defaultSize="0" print="0" autoFill="0" autoPict="0" macro="[0]!FromWIhideOC">
                <anchor moveWithCells="1" sizeWithCells="1">
                  <from>
                    <xdr:col>19</xdr:col>
                    <xdr:colOff>295275</xdr:colOff>
                    <xdr:row>13</xdr:row>
                    <xdr:rowOff>571500</xdr:rowOff>
                  </from>
                  <to>
                    <xdr:col>20</xdr:col>
                    <xdr:colOff>85725</xdr:colOff>
                    <xdr:row>15</xdr:row>
                    <xdr:rowOff>676275</xdr:rowOff>
                  </to>
                </anchor>
              </controlPr>
            </control>
          </mc:Choice>
        </mc:AlternateContent>
        <mc:AlternateContent xmlns:mc="http://schemas.openxmlformats.org/markup-compatibility/2006">
          <mc:Choice Requires="x14">
            <control shapeId="4102" r:id="rId9" name="Button 6">
              <controlPr defaultSize="0" print="0" autoFill="0" autoPict="0" macro="[0]!FromWIunhideOC">
                <anchor moveWithCells="1" sizeWithCells="1">
                  <from>
                    <xdr:col>21</xdr:col>
                    <xdr:colOff>171450</xdr:colOff>
                    <xdr:row>13</xdr:row>
                    <xdr:rowOff>542925</xdr:rowOff>
                  </from>
                  <to>
                    <xdr:col>21</xdr:col>
                    <xdr:colOff>2076450</xdr:colOff>
                    <xdr:row>15</xdr:row>
                    <xdr:rowOff>609600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FF00"/>
    <pageSetUpPr fitToPage="1"/>
  </sheetPr>
  <dimension ref="A1:U103"/>
  <sheetViews>
    <sheetView zoomScale="40" zoomScaleNormal="40" workbookViewId="0">
      <selection activeCell="A3" sqref="A3:U103"/>
    </sheetView>
  </sheetViews>
  <sheetFormatPr defaultRowHeight="15" x14ac:dyDescent="0.25"/>
  <cols>
    <col min="1" max="1" width="23.85546875" customWidth="1"/>
    <col min="2" max="2" width="38.42578125" customWidth="1"/>
    <col min="3" max="3" width="60.42578125" customWidth="1"/>
    <col min="4" max="5" width="28.42578125" customWidth="1"/>
    <col min="6" max="6" width="35" customWidth="1"/>
    <col min="7" max="7" width="115" customWidth="1"/>
    <col min="8" max="8" width="43.42578125" customWidth="1"/>
    <col min="9" max="9" width="32.42578125" customWidth="1"/>
    <col min="10" max="10" width="33" customWidth="1"/>
    <col min="11" max="11" width="41.5703125" hidden="1" customWidth="1"/>
    <col min="12" max="12" width="28" hidden="1" customWidth="1"/>
    <col min="13" max="13" width="31.5703125" hidden="1" customWidth="1"/>
    <col min="14" max="14" width="29.42578125" hidden="1" customWidth="1"/>
    <col min="15" max="15" width="27.42578125" hidden="1" customWidth="1"/>
    <col min="16" max="18" width="9.140625" hidden="1" customWidth="1"/>
    <col min="19" max="19" width="52" customWidth="1"/>
    <col min="20" max="20" width="52" hidden="1" customWidth="1"/>
    <col min="21" max="21" width="90.7109375" customWidth="1"/>
  </cols>
  <sheetData>
    <row r="1" spans="1:21" ht="51" customHeight="1" thickBot="1" x14ac:dyDescent="0.3">
      <c r="A1" s="305" t="s">
        <v>168</v>
      </c>
      <c r="B1" s="306"/>
      <c r="C1" s="306"/>
      <c r="D1" s="306"/>
      <c r="E1" s="306"/>
      <c r="F1" s="306"/>
      <c r="G1" s="306"/>
      <c r="H1" s="306"/>
      <c r="I1" s="226"/>
      <c r="J1" s="226"/>
      <c r="K1" s="226"/>
      <c r="L1" s="226"/>
      <c r="M1" s="226"/>
      <c r="N1" s="226"/>
      <c r="O1" s="226"/>
      <c r="P1" s="226"/>
      <c r="Q1" s="226"/>
      <c r="R1" s="226"/>
      <c r="S1" s="226"/>
      <c r="T1" s="226"/>
      <c r="U1" s="226"/>
    </row>
    <row r="2" spans="1:21" ht="26.25" x14ac:dyDescent="0.25">
      <c r="A2" s="121"/>
      <c r="B2" s="122"/>
      <c r="C2" s="122"/>
      <c r="D2" s="122"/>
      <c r="E2" s="122"/>
      <c r="F2" s="122"/>
      <c r="G2" s="122"/>
      <c r="H2" s="122"/>
      <c r="I2" s="122"/>
      <c r="J2" s="122"/>
      <c r="K2" s="122"/>
      <c r="L2" s="122"/>
      <c r="M2" s="122"/>
      <c r="N2" s="122"/>
      <c r="O2" s="122"/>
      <c r="P2" s="122"/>
      <c r="Q2" s="122"/>
      <c r="R2" s="122"/>
      <c r="S2" s="122"/>
      <c r="T2" s="122"/>
      <c r="U2" s="122"/>
    </row>
    <row r="3" spans="1:21" ht="306.75" customHeight="1" x14ac:dyDescent="0.25">
      <c r="A3" s="187" t="s">
        <v>181</v>
      </c>
      <c r="B3" s="187" t="s">
        <v>183</v>
      </c>
      <c r="C3" s="187" t="s">
        <v>47</v>
      </c>
      <c r="D3" s="187" t="s">
        <v>144</v>
      </c>
      <c r="E3" s="187" t="s">
        <v>145</v>
      </c>
      <c r="F3" s="187" t="s">
        <v>179</v>
      </c>
      <c r="G3" s="187" t="s">
        <v>72</v>
      </c>
      <c r="H3" s="187" t="s">
        <v>180</v>
      </c>
      <c r="I3" s="187" t="s">
        <v>55</v>
      </c>
      <c r="J3" s="187" t="s">
        <v>195</v>
      </c>
      <c r="K3" s="188" t="s">
        <v>2</v>
      </c>
      <c r="L3" s="188" t="s">
        <v>3</v>
      </c>
      <c r="M3" s="188" t="s">
        <v>4</v>
      </c>
      <c r="N3" s="187" t="s">
        <v>5</v>
      </c>
      <c r="O3" s="188" t="s">
        <v>164</v>
      </c>
      <c r="P3" s="189" t="s">
        <v>48</v>
      </c>
      <c r="Q3" s="188" t="s">
        <v>49</v>
      </c>
      <c r="R3" s="189" t="s">
        <v>50</v>
      </c>
      <c r="S3" s="190" t="s">
        <v>137</v>
      </c>
      <c r="T3" s="190" t="s">
        <v>196</v>
      </c>
      <c r="U3" s="191" t="s">
        <v>58</v>
      </c>
    </row>
    <row r="4" spans="1:21" ht="250.5" customHeight="1" x14ac:dyDescent="0.25">
      <c r="A4" s="179">
        <v>1</v>
      </c>
      <c r="B4" s="180"/>
      <c r="C4" s="180"/>
      <c r="D4" s="198"/>
      <c r="E4" s="198"/>
      <c r="F4" s="180"/>
      <c r="G4" s="180"/>
      <c r="H4" s="180"/>
      <c r="I4" s="180"/>
      <c r="J4" s="180"/>
      <c r="K4" s="181"/>
      <c r="L4" s="182"/>
      <c r="M4" s="182">
        <f t="shared" ref="M4" si="0">+L4+K4</f>
        <v>0</v>
      </c>
      <c r="N4" s="194">
        <f>+M4*2.1</f>
        <v>0</v>
      </c>
      <c r="O4" s="184"/>
      <c r="P4" s="183"/>
      <c r="Q4" s="184"/>
      <c r="R4" s="183"/>
      <c r="S4" s="185"/>
      <c r="T4" s="185"/>
      <c r="U4" s="186"/>
    </row>
    <row r="5" spans="1:21" ht="250.5" customHeight="1" x14ac:dyDescent="0.25">
      <c r="A5" s="179">
        <v>2</v>
      </c>
      <c r="B5" s="180"/>
      <c r="C5" s="180"/>
      <c r="D5" s="198"/>
      <c r="E5" s="198"/>
      <c r="F5" s="180"/>
      <c r="G5" s="180"/>
      <c r="H5" s="180"/>
      <c r="I5" s="180"/>
      <c r="J5" s="180"/>
      <c r="K5" s="181"/>
      <c r="L5" s="182"/>
      <c r="M5" s="182"/>
      <c r="N5" s="194"/>
      <c r="O5" s="184"/>
      <c r="P5" s="183"/>
      <c r="Q5" s="184"/>
      <c r="R5" s="183"/>
      <c r="S5" s="185"/>
      <c r="T5" s="185"/>
      <c r="U5" s="186"/>
    </row>
    <row r="6" spans="1:21" ht="250.5" customHeight="1" x14ac:dyDescent="0.25">
      <c r="A6" s="179">
        <v>3</v>
      </c>
      <c r="B6" s="180"/>
      <c r="C6" s="180"/>
      <c r="D6" s="198"/>
      <c r="E6" s="198"/>
      <c r="F6" s="180"/>
      <c r="G6" s="180"/>
      <c r="H6" s="180"/>
      <c r="I6" s="180"/>
      <c r="J6" s="180"/>
      <c r="K6" s="181"/>
      <c r="L6" s="182"/>
      <c r="M6" s="182"/>
      <c r="N6" s="194"/>
      <c r="O6" s="184"/>
      <c r="P6" s="183"/>
      <c r="Q6" s="184"/>
      <c r="R6" s="183"/>
      <c r="S6" s="185"/>
      <c r="T6" s="185"/>
      <c r="U6" s="186"/>
    </row>
    <row r="7" spans="1:21" ht="250.5" customHeight="1" x14ac:dyDescent="0.25">
      <c r="A7" s="179">
        <v>4</v>
      </c>
      <c r="B7" s="180"/>
      <c r="C7" s="180"/>
      <c r="D7" s="198"/>
      <c r="E7" s="198"/>
      <c r="F7" s="180"/>
      <c r="G7" s="180"/>
      <c r="H7" s="180"/>
      <c r="I7" s="180"/>
      <c r="J7" s="180"/>
      <c r="K7" s="181"/>
      <c r="L7" s="182"/>
      <c r="M7" s="182"/>
      <c r="N7" s="194"/>
      <c r="O7" s="184"/>
      <c r="P7" s="183"/>
      <c r="Q7" s="184"/>
      <c r="R7" s="183"/>
      <c r="S7" s="185"/>
      <c r="T7" s="185"/>
      <c r="U7" s="186"/>
    </row>
    <row r="8" spans="1:21" ht="250.5" customHeight="1" x14ac:dyDescent="0.25">
      <c r="A8" s="179">
        <v>5</v>
      </c>
      <c r="B8" s="180"/>
      <c r="C8" s="180"/>
      <c r="D8" s="198"/>
      <c r="E8" s="198"/>
      <c r="F8" s="180"/>
      <c r="G8" s="180"/>
      <c r="H8" s="180"/>
      <c r="I8" s="180"/>
      <c r="J8" s="180"/>
      <c r="K8" s="181"/>
      <c r="L8" s="182"/>
      <c r="M8" s="182"/>
      <c r="N8" s="194"/>
      <c r="O8" s="184"/>
      <c r="P8" s="183"/>
      <c r="Q8" s="184"/>
      <c r="R8" s="183"/>
      <c r="S8" s="185"/>
      <c r="T8" s="185"/>
      <c r="U8" s="186"/>
    </row>
    <row r="9" spans="1:21" ht="250.5" customHeight="1" x14ac:dyDescent="0.25">
      <c r="A9" s="179">
        <v>6</v>
      </c>
      <c r="B9" s="180"/>
      <c r="C9" s="180"/>
      <c r="D9" s="198"/>
      <c r="E9" s="198"/>
      <c r="F9" s="180"/>
      <c r="G9" s="180"/>
      <c r="H9" s="180"/>
      <c r="I9" s="180"/>
      <c r="J9" s="180"/>
      <c r="K9" s="181"/>
      <c r="L9" s="182"/>
      <c r="M9" s="182"/>
      <c r="N9" s="194"/>
      <c r="O9" s="184"/>
      <c r="P9" s="183"/>
      <c r="Q9" s="184"/>
      <c r="R9" s="183"/>
      <c r="S9" s="185"/>
      <c r="T9" s="185"/>
      <c r="U9" s="186"/>
    </row>
    <row r="10" spans="1:21" ht="250.5" customHeight="1" x14ac:dyDescent="0.25">
      <c r="A10" s="179">
        <v>7</v>
      </c>
      <c r="B10" s="180"/>
      <c r="C10" s="180"/>
      <c r="D10" s="198"/>
      <c r="E10" s="198"/>
      <c r="F10" s="180"/>
      <c r="G10" s="180"/>
      <c r="H10" s="180"/>
      <c r="I10" s="180"/>
      <c r="J10" s="180"/>
      <c r="K10" s="181"/>
      <c r="L10" s="182"/>
      <c r="M10" s="182"/>
      <c r="N10" s="194"/>
      <c r="O10" s="184"/>
      <c r="P10" s="183"/>
      <c r="Q10" s="184"/>
      <c r="R10" s="183"/>
      <c r="S10" s="185"/>
      <c r="T10" s="185"/>
      <c r="U10" s="186"/>
    </row>
    <row r="11" spans="1:21" ht="250.5" customHeight="1" x14ac:dyDescent="0.25">
      <c r="A11" s="179">
        <v>8</v>
      </c>
      <c r="B11" s="180"/>
      <c r="C11" s="180"/>
      <c r="D11" s="198"/>
      <c r="E11" s="198"/>
      <c r="F11" s="180"/>
      <c r="G11" s="180"/>
      <c r="H11" s="180"/>
      <c r="I11" s="180"/>
      <c r="J11" s="180"/>
      <c r="K11" s="181"/>
      <c r="L11" s="182"/>
      <c r="M11" s="182"/>
      <c r="N11" s="194"/>
      <c r="O11" s="184"/>
      <c r="P11" s="183"/>
      <c r="Q11" s="184"/>
      <c r="R11" s="183"/>
      <c r="S11" s="185"/>
      <c r="T11" s="185"/>
      <c r="U11" s="186"/>
    </row>
    <row r="12" spans="1:21" ht="250.5" customHeight="1" x14ac:dyDescent="0.25">
      <c r="A12" s="179">
        <v>9</v>
      </c>
      <c r="B12" s="180"/>
      <c r="C12" s="180"/>
      <c r="D12" s="198"/>
      <c r="E12" s="198"/>
      <c r="F12" s="180"/>
      <c r="G12" s="180"/>
      <c r="H12" s="180"/>
      <c r="I12" s="180"/>
      <c r="J12" s="180"/>
      <c r="K12" s="181"/>
      <c r="L12" s="182"/>
      <c r="M12" s="182"/>
      <c r="N12" s="194"/>
      <c r="O12" s="184"/>
      <c r="P12" s="183"/>
      <c r="Q12" s="184"/>
      <c r="R12" s="183"/>
      <c r="S12" s="185"/>
      <c r="T12" s="185"/>
      <c r="U12" s="186"/>
    </row>
    <row r="13" spans="1:21" ht="250.5" customHeight="1" x14ac:dyDescent="0.25">
      <c r="A13" s="179">
        <v>10</v>
      </c>
      <c r="B13" s="180"/>
      <c r="C13" s="180"/>
      <c r="D13" s="198"/>
      <c r="E13" s="198"/>
      <c r="F13" s="180"/>
      <c r="G13" s="180"/>
      <c r="H13" s="180"/>
      <c r="I13" s="180"/>
      <c r="J13" s="180"/>
      <c r="K13" s="181"/>
      <c r="L13" s="182"/>
      <c r="M13" s="182"/>
      <c r="N13" s="194"/>
      <c r="O13" s="184"/>
      <c r="P13" s="183"/>
      <c r="Q13" s="184"/>
      <c r="R13" s="183"/>
      <c r="S13" s="185"/>
      <c r="T13" s="185"/>
      <c r="U13" s="186"/>
    </row>
    <row r="14" spans="1:21" ht="250.5" customHeight="1" x14ac:dyDescent="0.25">
      <c r="A14" s="179">
        <v>11</v>
      </c>
      <c r="B14" s="180"/>
      <c r="C14" s="180"/>
      <c r="D14" s="198"/>
      <c r="E14" s="198"/>
      <c r="F14" s="180"/>
      <c r="G14" s="180"/>
      <c r="H14" s="180"/>
      <c r="I14" s="180"/>
      <c r="J14" s="180"/>
      <c r="K14" s="181"/>
      <c r="L14" s="182"/>
      <c r="M14" s="182"/>
      <c r="N14" s="194"/>
      <c r="O14" s="184"/>
      <c r="P14" s="183"/>
      <c r="Q14" s="184"/>
      <c r="R14" s="183"/>
      <c r="S14" s="185"/>
      <c r="T14" s="185"/>
      <c r="U14" s="186"/>
    </row>
    <row r="15" spans="1:21" ht="250.5" customHeight="1" x14ac:dyDescent="0.25">
      <c r="A15" s="179">
        <v>12</v>
      </c>
      <c r="B15" s="180"/>
      <c r="C15" s="180"/>
      <c r="D15" s="198"/>
      <c r="E15" s="198"/>
      <c r="F15" s="180"/>
      <c r="G15" s="180"/>
      <c r="H15" s="180"/>
      <c r="I15" s="180"/>
      <c r="J15" s="180"/>
      <c r="K15" s="181"/>
      <c r="L15" s="182"/>
      <c r="M15" s="182"/>
      <c r="N15" s="194"/>
      <c r="O15" s="184"/>
      <c r="P15" s="183"/>
      <c r="Q15" s="184"/>
      <c r="R15" s="183"/>
      <c r="S15" s="185"/>
      <c r="T15" s="185"/>
      <c r="U15" s="186"/>
    </row>
    <row r="16" spans="1:21" ht="250.5" customHeight="1" x14ac:dyDescent="0.25">
      <c r="A16" s="179">
        <v>13</v>
      </c>
      <c r="B16" s="180"/>
      <c r="C16" s="180"/>
      <c r="D16" s="198"/>
      <c r="E16" s="198"/>
      <c r="F16" s="180"/>
      <c r="G16" s="180"/>
      <c r="H16" s="180"/>
      <c r="I16" s="180"/>
      <c r="J16" s="180"/>
      <c r="K16" s="181"/>
      <c r="L16" s="182"/>
      <c r="M16" s="182"/>
      <c r="N16" s="194"/>
      <c r="O16" s="184"/>
      <c r="P16" s="183"/>
      <c r="Q16" s="184"/>
      <c r="R16" s="183"/>
      <c r="S16" s="185"/>
      <c r="T16" s="185"/>
      <c r="U16" s="186"/>
    </row>
    <row r="17" spans="1:21" ht="250.5" customHeight="1" x14ac:dyDescent="0.25">
      <c r="A17" s="179">
        <v>14</v>
      </c>
      <c r="B17" s="180"/>
      <c r="C17" s="180"/>
      <c r="D17" s="198"/>
      <c r="E17" s="198"/>
      <c r="F17" s="180"/>
      <c r="G17" s="180"/>
      <c r="H17" s="180"/>
      <c r="I17" s="180"/>
      <c r="J17" s="180"/>
      <c r="K17" s="181"/>
      <c r="L17" s="182"/>
      <c r="M17" s="182"/>
      <c r="N17" s="194"/>
      <c r="O17" s="184"/>
      <c r="P17" s="183"/>
      <c r="Q17" s="184"/>
      <c r="R17" s="183"/>
      <c r="S17" s="185"/>
      <c r="T17" s="185"/>
      <c r="U17" s="186"/>
    </row>
    <row r="18" spans="1:21" ht="250.5" customHeight="1" x14ac:dyDescent="0.25">
      <c r="A18" s="179">
        <v>15</v>
      </c>
      <c r="B18" s="180"/>
      <c r="C18" s="180"/>
      <c r="D18" s="198"/>
      <c r="E18" s="198"/>
      <c r="F18" s="180"/>
      <c r="G18" s="180"/>
      <c r="H18" s="180"/>
      <c r="I18" s="180"/>
      <c r="J18" s="180"/>
      <c r="K18" s="181"/>
      <c r="L18" s="182"/>
      <c r="M18" s="182"/>
      <c r="N18" s="194"/>
      <c r="O18" s="184"/>
      <c r="P18" s="183"/>
      <c r="Q18" s="184"/>
      <c r="R18" s="183"/>
      <c r="S18" s="185"/>
      <c r="T18" s="185"/>
      <c r="U18" s="186"/>
    </row>
    <row r="19" spans="1:21" ht="250.5" customHeight="1" x14ac:dyDescent="0.25">
      <c r="A19" s="179">
        <v>16</v>
      </c>
      <c r="B19" s="180"/>
      <c r="C19" s="180"/>
      <c r="D19" s="198"/>
      <c r="E19" s="198"/>
      <c r="F19" s="180"/>
      <c r="G19" s="180"/>
      <c r="H19" s="180"/>
      <c r="I19" s="180"/>
      <c r="J19" s="180"/>
      <c r="K19" s="181"/>
      <c r="L19" s="182"/>
      <c r="M19" s="182"/>
      <c r="N19" s="194"/>
      <c r="O19" s="184"/>
      <c r="P19" s="183"/>
      <c r="Q19" s="184"/>
      <c r="R19" s="183"/>
      <c r="S19" s="185"/>
      <c r="T19" s="185"/>
      <c r="U19" s="186"/>
    </row>
    <row r="20" spans="1:21" ht="250.5" customHeight="1" x14ac:dyDescent="0.25">
      <c r="A20" s="179">
        <v>17</v>
      </c>
      <c r="B20" s="180"/>
      <c r="C20" s="180"/>
      <c r="D20" s="198"/>
      <c r="E20" s="198"/>
      <c r="F20" s="180"/>
      <c r="G20" s="180"/>
      <c r="H20" s="180"/>
      <c r="I20" s="180"/>
      <c r="J20" s="180"/>
      <c r="K20" s="181"/>
      <c r="L20" s="182"/>
      <c r="M20" s="182"/>
      <c r="N20" s="194"/>
      <c r="O20" s="184"/>
      <c r="P20" s="183"/>
      <c r="Q20" s="184"/>
      <c r="R20" s="183"/>
      <c r="S20" s="185"/>
      <c r="T20" s="185"/>
      <c r="U20" s="186"/>
    </row>
    <row r="21" spans="1:21" ht="250.5" customHeight="1" x14ac:dyDescent="0.25">
      <c r="A21" s="179">
        <v>18</v>
      </c>
      <c r="B21" s="180"/>
      <c r="C21" s="180"/>
      <c r="D21" s="198"/>
      <c r="E21" s="198"/>
      <c r="F21" s="180"/>
      <c r="G21" s="180"/>
      <c r="H21" s="180"/>
      <c r="I21" s="180"/>
      <c r="J21" s="180"/>
      <c r="K21" s="181"/>
      <c r="L21" s="182"/>
      <c r="M21" s="182"/>
      <c r="N21" s="194"/>
      <c r="O21" s="184"/>
      <c r="P21" s="183"/>
      <c r="Q21" s="184"/>
      <c r="R21" s="183"/>
      <c r="S21" s="185"/>
      <c r="T21" s="185"/>
      <c r="U21" s="186"/>
    </row>
    <row r="22" spans="1:21" ht="250.5" customHeight="1" x14ac:dyDescent="0.25">
      <c r="A22" s="179">
        <v>19</v>
      </c>
      <c r="B22" s="180"/>
      <c r="C22" s="180"/>
      <c r="D22" s="198"/>
      <c r="E22" s="198"/>
      <c r="F22" s="180"/>
      <c r="G22" s="180"/>
      <c r="H22" s="180"/>
      <c r="I22" s="180"/>
      <c r="J22" s="180"/>
      <c r="K22" s="181"/>
      <c r="L22" s="182"/>
      <c r="M22" s="182"/>
      <c r="N22" s="194"/>
      <c r="O22" s="184"/>
      <c r="P22" s="183"/>
      <c r="Q22" s="184"/>
      <c r="R22" s="183"/>
      <c r="S22" s="185"/>
      <c r="T22" s="185"/>
      <c r="U22" s="186"/>
    </row>
    <row r="23" spans="1:21" ht="250.5" customHeight="1" x14ac:dyDescent="0.25">
      <c r="A23" s="179">
        <v>20</v>
      </c>
      <c r="B23" s="180"/>
      <c r="C23" s="180"/>
      <c r="D23" s="198"/>
      <c r="E23" s="198"/>
      <c r="F23" s="180"/>
      <c r="G23" s="180"/>
      <c r="H23" s="180"/>
      <c r="I23" s="180"/>
      <c r="J23" s="180"/>
      <c r="K23" s="181"/>
      <c r="L23" s="182"/>
      <c r="M23" s="182"/>
      <c r="N23" s="194"/>
      <c r="O23" s="184"/>
      <c r="P23" s="183"/>
      <c r="Q23" s="184"/>
      <c r="R23" s="183"/>
      <c r="S23" s="185"/>
      <c r="T23" s="185"/>
      <c r="U23" s="186"/>
    </row>
    <row r="24" spans="1:21" ht="250.5" customHeight="1" x14ac:dyDescent="0.25">
      <c r="A24" s="179">
        <v>21</v>
      </c>
      <c r="B24" s="180"/>
      <c r="C24" s="180"/>
      <c r="D24" s="198"/>
      <c r="E24" s="198"/>
      <c r="F24" s="180"/>
      <c r="G24" s="180"/>
      <c r="H24" s="180"/>
      <c r="I24" s="180"/>
      <c r="J24" s="180"/>
      <c r="K24" s="181"/>
      <c r="L24" s="182"/>
      <c r="M24" s="182"/>
      <c r="N24" s="194"/>
      <c r="O24" s="184"/>
      <c r="P24" s="183"/>
      <c r="Q24" s="184"/>
      <c r="R24" s="183"/>
      <c r="S24" s="185"/>
      <c r="T24" s="185"/>
      <c r="U24" s="186"/>
    </row>
    <row r="25" spans="1:21" ht="250.5" customHeight="1" x14ac:dyDescent="0.25">
      <c r="A25" s="179">
        <v>22</v>
      </c>
      <c r="B25" s="180"/>
      <c r="C25" s="180"/>
      <c r="D25" s="198"/>
      <c r="E25" s="198"/>
      <c r="F25" s="180"/>
      <c r="G25" s="180"/>
      <c r="H25" s="180"/>
      <c r="I25" s="180"/>
      <c r="J25" s="180"/>
      <c r="K25" s="181"/>
      <c r="L25" s="182"/>
      <c r="M25" s="182"/>
      <c r="N25" s="194"/>
      <c r="O25" s="184"/>
      <c r="P25" s="183"/>
      <c r="Q25" s="184"/>
      <c r="R25" s="183"/>
      <c r="S25" s="185"/>
      <c r="T25" s="185"/>
      <c r="U25" s="186"/>
    </row>
    <row r="26" spans="1:21" ht="250.5" customHeight="1" x14ac:dyDescent="0.25">
      <c r="A26" s="179">
        <v>23</v>
      </c>
      <c r="B26" s="180"/>
      <c r="C26" s="180"/>
      <c r="D26" s="198"/>
      <c r="E26" s="198"/>
      <c r="F26" s="180"/>
      <c r="G26" s="180"/>
      <c r="H26" s="180"/>
      <c r="I26" s="180"/>
      <c r="J26" s="180"/>
      <c r="K26" s="181"/>
      <c r="L26" s="182"/>
      <c r="M26" s="182"/>
      <c r="N26" s="194"/>
      <c r="O26" s="184"/>
      <c r="P26" s="183"/>
      <c r="Q26" s="184"/>
      <c r="R26" s="183"/>
      <c r="S26" s="185"/>
      <c r="T26" s="185"/>
      <c r="U26" s="186"/>
    </row>
    <row r="27" spans="1:21" ht="250.5" customHeight="1" x14ac:dyDescent="0.25">
      <c r="A27" s="179">
        <v>24</v>
      </c>
      <c r="B27" s="180"/>
      <c r="C27" s="180"/>
      <c r="D27" s="198"/>
      <c r="E27" s="198"/>
      <c r="F27" s="180"/>
      <c r="G27" s="180"/>
      <c r="H27" s="180"/>
      <c r="I27" s="180"/>
      <c r="J27" s="180"/>
      <c r="K27" s="181"/>
      <c r="L27" s="182"/>
      <c r="M27" s="182"/>
      <c r="N27" s="194"/>
      <c r="O27" s="184"/>
      <c r="P27" s="183"/>
      <c r="Q27" s="184"/>
      <c r="R27" s="183"/>
      <c r="S27" s="185"/>
      <c r="T27" s="185"/>
      <c r="U27" s="186"/>
    </row>
    <row r="28" spans="1:21" ht="250.5" customHeight="1" x14ac:dyDescent="0.25">
      <c r="A28" s="179">
        <v>25</v>
      </c>
      <c r="B28" s="180"/>
      <c r="C28" s="180"/>
      <c r="D28" s="198"/>
      <c r="E28" s="198"/>
      <c r="F28" s="180"/>
      <c r="G28" s="180"/>
      <c r="H28" s="180"/>
      <c r="I28" s="180"/>
      <c r="J28" s="180"/>
      <c r="K28" s="181"/>
      <c r="L28" s="182"/>
      <c r="M28" s="182"/>
      <c r="N28" s="194"/>
      <c r="O28" s="184"/>
      <c r="P28" s="183"/>
      <c r="Q28" s="184"/>
      <c r="R28" s="183"/>
      <c r="S28" s="185"/>
      <c r="T28" s="185"/>
      <c r="U28" s="186"/>
    </row>
    <row r="29" spans="1:21" ht="250.5" customHeight="1" x14ac:dyDescent="0.25">
      <c r="A29" s="179">
        <v>26</v>
      </c>
      <c r="B29" s="180"/>
      <c r="C29" s="180"/>
      <c r="D29" s="198"/>
      <c r="E29" s="198"/>
      <c r="F29" s="180"/>
      <c r="G29" s="180"/>
      <c r="H29" s="180"/>
      <c r="I29" s="180"/>
      <c r="J29" s="180"/>
      <c r="K29" s="181"/>
      <c r="L29" s="182"/>
      <c r="M29" s="182"/>
      <c r="N29" s="194"/>
      <c r="O29" s="184"/>
      <c r="P29" s="183"/>
      <c r="Q29" s="184"/>
      <c r="R29" s="183"/>
      <c r="S29" s="185"/>
      <c r="T29" s="185"/>
      <c r="U29" s="186"/>
    </row>
    <row r="30" spans="1:21" ht="250.5" customHeight="1" x14ac:dyDescent="0.25">
      <c r="A30" s="179">
        <v>27</v>
      </c>
      <c r="B30" s="180"/>
      <c r="C30" s="180"/>
      <c r="D30" s="198"/>
      <c r="E30" s="198"/>
      <c r="F30" s="180"/>
      <c r="G30" s="180"/>
      <c r="H30" s="180"/>
      <c r="I30" s="180"/>
      <c r="J30" s="180"/>
      <c r="K30" s="181"/>
      <c r="L30" s="182"/>
      <c r="M30" s="182"/>
      <c r="N30" s="194"/>
      <c r="O30" s="184"/>
      <c r="P30" s="183"/>
      <c r="Q30" s="184"/>
      <c r="R30" s="183"/>
      <c r="S30" s="185"/>
      <c r="T30" s="185"/>
      <c r="U30" s="186"/>
    </row>
    <row r="31" spans="1:21" ht="250.5" customHeight="1" x14ac:dyDescent="0.25">
      <c r="A31" s="179">
        <v>28</v>
      </c>
      <c r="B31" s="180"/>
      <c r="C31" s="180"/>
      <c r="D31" s="198"/>
      <c r="E31" s="198"/>
      <c r="F31" s="180"/>
      <c r="G31" s="180"/>
      <c r="H31" s="180"/>
      <c r="I31" s="180"/>
      <c r="J31" s="180"/>
      <c r="K31" s="181"/>
      <c r="L31" s="182"/>
      <c r="M31" s="182"/>
      <c r="N31" s="194"/>
      <c r="O31" s="184"/>
      <c r="P31" s="183"/>
      <c r="Q31" s="184"/>
      <c r="R31" s="183"/>
      <c r="S31" s="185"/>
      <c r="T31" s="185"/>
      <c r="U31" s="186"/>
    </row>
    <row r="32" spans="1:21" ht="250.5" customHeight="1" x14ac:dyDescent="0.25">
      <c r="A32" s="179">
        <v>29</v>
      </c>
      <c r="B32" s="180"/>
      <c r="C32" s="180"/>
      <c r="D32" s="198"/>
      <c r="E32" s="198"/>
      <c r="F32" s="180"/>
      <c r="G32" s="180"/>
      <c r="H32" s="180"/>
      <c r="I32" s="180"/>
      <c r="J32" s="180"/>
      <c r="K32" s="181"/>
      <c r="L32" s="182"/>
      <c r="M32" s="182"/>
      <c r="N32" s="194"/>
      <c r="O32" s="184"/>
      <c r="P32" s="183"/>
      <c r="Q32" s="184"/>
      <c r="R32" s="183"/>
      <c r="S32" s="185"/>
      <c r="T32" s="185"/>
      <c r="U32" s="186"/>
    </row>
    <row r="33" spans="1:21" ht="250.5" customHeight="1" x14ac:dyDescent="0.25">
      <c r="A33" s="179">
        <v>30</v>
      </c>
      <c r="B33" s="180"/>
      <c r="C33" s="180"/>
      <c r="D33" s="198"/>
      <c r="E33" s="198"/>
      <c r="F33" s="180"/>
      <c r="G33" s="180"/>
      <c r="H33" s="180"/>
      <c r="I33" s="180"/>
      <c r="J33" s="180"/>
      <c r="K33" s="181"/>
      <c r="L33" s="182"/>
      <c r="M33" s="182"/>
      <c r="N33" s="194"/>
      <c r="O33" s="184"/>
      <c r="P33" s="183"/>
      <c r="Q33" s="184"/>
      <c r="R33" s="183"/>
      <c r="S33" s="185"/>
      <c r="T33" s="185"/>
      <c r="U33" s="186"/>
    </row>
    <row r="34" spans="1:21" ht="250.5" customHeight="1" x14ac:dyDescent="0.25">
      <c r="A34" s="179">
        <v>31</v>
      </c>
      <c r="B34" s="180"/>
      <c r="C34" s="180"/>
      <c r="D34" s="198"/>
      <c r="E34" s="198"/>
      <c r="F34" s="180"/>
      <c r="G34" s="180"/>
      <c r="H34" s="180"/>
      <c r="I34" s="180"/>
      <c r="J34" s="180"/>
      <c r="K34" s="181"/>
      <c r="L34" s="182"/>
      <c r="M34" s="182"/>
      <c r="N34" s="194"/>
      <c r="O34" s="184"/>
      <c r="P34" s="183"/>
      <c r="Q34" s="184"/>
      <c r="R34" s="183"/>
      <c r="S34" s="185"/>
      <c r="T34" s="185"/>
      <c r="U34" s="186"/>
    </row>
    <row r="35" spans="1:21" ht="250.5" customHeight="1" x14ac:dyDescent="0.25">
      <c r="A35" s="179">
        <v>32</v>
      </c>
      <c r="B35" s="180"/>
      <c r="C35" s="180"/>
      <c r="D35" s="198"/>
      <c r="E35" s="198"/>
      <c r="F35" s="180"/>
      <c r="G35" s="180"/>
      <c r="H35" s="180"/>
      <c r="I35" s="180"/>
      <c r="J35" s="180"/>
      <c r="K35" s="181"/>
      <c r="L35" s="182"/>
      <c r="M35" s="182"/>
      <c r="N35" s="194"/>
      <c r="O35" s="184"/>
      <c r="P35" s="183"/>
      <c r="Q35" s="184"/>
      <c r="R35" s="183"/>
      <c r="S35" s="185"/>
      <c r="T35" s="185"/>
      <c r="U35" s="186"/>
    </row>
    <row r="36" spans="1:21" ht="250.5" customHeight="1" x14ac:dyDescent="0.25">
      <c r="A36" s="179">
        <v>33</v>
      </c>
      <c r="B36" s="180"/>
      <c r="C36" s="180"/>
      <c r="D36" s="198"/>
      <c r="E36" s="198"/>
      <c r="F36" s="180"/>
      <c r="G36" s="180"/>
      <c r="H36" s="180"/>
      <c r="I36" s="180"/>
      <c r="J36" s="180"/>
      <c r="K36" s="181"/>
      <c r="L36" s="182"/>
      <c r="M36" s="182"/>
      <c r="N36" s="194"/>
      <c r="O36" s="184"/>
      <c r="P36" s="183"/>
      <c r="Q36" s="184"/>
      <c r="R36" s="183"/>
      <c r="S36" s="185"/>
      <c r="T36" s="185"/>
      <c r="U36" s="186"/>
    </row>
    <row r="37" spans="1:21" ht="250.5" customHeight="1" x14ac:dyDescent="0.25">
      <c r="A37" s="179">
        <v>34</v>
      </c>
      <c r="B37" s="180"/>
      <c r="C37" s="180"/>
      <c r="D37" s="198"/>
      <c r="E37" s="198"/>
      <c r="F37" s="180"/>
      <c r="G37" s="180"/>
      <c r="H37" s="180"/>
      <c r="I37" s="180"/>
      <c r="J37" s="180"/>
      <c r="K37" s="181"/>
      <c r="L37" s="182"/>
      <c r="M37" s="182"/>
      <c r="N37" s="194"/>
      <c r="O37" s="184"/>
      <c r="P37" s="183"/>
      <c r="Q37" s="184"/>
      <c r="R37" s="183"/>
      <c r="S37" s="185"/>
      <c r="T37" s="185"/>
      <c r="U37" s="186"/>
    </row>
    <row r="38" spans="1:21" ht="250.5" customHeight="1" x14ac:dyDescent="0.25">
      <c r="A38" s="179">
        <v>35</v>
      </c>
      <c r="B38" s="180"/>
      <c r="C38" s="180"/>
      <c r="D38" s="198"/>
      <c r="E38" s="198"/>
      <c r="F38" s="180"/>
      <c r="G38" s="180"/>
      <c r="H38" s="180"/>
      <c r="I38" s="180"/>
      <c r="J38" s="180"/>
      <c r="K38" s="181"/>
      <c r="L38" s="182"/>
      <c r="M38" s="182"/>
      <c r="N38" s="194"/>
      <c r="O38" s="184"/>
      <c r="P38" s="183"/>
      <c r="Q38" s="184"/>
      <c r="R38" s="183"/>
      <c r="S38" s="185"/>
      <c r="T38" s="185"/>
      <c r="U38" s="186"/>
    </row>
    <row r="39" spans="1:21" ht="250.5" customHeight="1" x14ac:dyDescent="0.25">
      <c r="A39" s="179">
        <v>36</v>
      </c>
      <c r="B39" s="180"/>
      <c r="C39" s="180"/>
      <c r="D39" s="198"/>
      <c r="E39" s="198"/>
      <c r="F39" s="180"/>
      <c r="G39" s="180"/>
      <c r="H39" s="180"/>
      <c r="I39" s="180"/>
      <c r="J39" s="180"/>
      <c r="K39" s="181"/>
      <c r="L39" s="182"/>
      <c r="M39" s="182"/>
      <c r="N39" s="194"/>
      <c r="O39" s="184"/>
      <c r="P39" s="183"/>
      <c r="Q39" s="184"/>
      <c r="R39" s="183"/>
      <c r="S39" s="185"/>
      <c r="T39" s="185"/>
      <c r="U39" s="186"/>
    </row>
    <row r="40" spans="1:21" ht="250.5" customHeight="1" x14ac:dyDescent="0.25">
      <c r="A40" s="179">
        <v>37</v>
      </c>
      <c r="B40" s="180"/>
      <c r="C40" s="180"/>
      <c r="D40" s="198"/>
      <c r="E40" s="198"/>
      <c r="F40" s="180"/>
      <c r="G40" s="180"/>
      <c r="H40" s="180"/>
      <c r="I40" s="180"/>
      <c r="J40" s="180"/>
      <c r="K40" s="181"/>
      <c r="L40" s="182"/>
      <c r="M40" s="182"/>
      <c r="N40" s="194"/>
      <c r="O40" s="184"/>
      <c r="P40" s="183"/>
      <c r="Q40" s="184"/>
      <c r="R40" s="183"/>
      <c r="S40" s="185"/>
      <c r="T40" s="185"/>
      <c r="U40" s="186"/>
    </row>
    <row r="41" spans="1:21" ht="250.5" customHeight="1" x14ac:dyDescent="0.25">
      <c r="A41" s="179">
        <v>38</v>
      </c>
      <c r="B41" s="180"/>
      <c r="C41" s="180"/>
      <c r="D41" s="198"/>
      <c r="E41" s="198"/>
      <c r="F41" s="180"/>
      <c r="G41" s="180"/>
      <c r="H41" s="180"/>
      <c r="I41" s="180"/>
      <c r="J41" s="180"/>
      <c r="K41" s="181"/>
      <c r="L41" s="182"/>
      <c r="M41" s="182"/>
      <c r="N41" s="194"/>
      <c r="O41" s="184"/>
      <c r="P41" s="183"/>
      <c r="Q41" s="184"/>
      <c r="R41" s="183"/>
      <c r="S41" s="185"/>
      <c r="T41" s="185"/>
      <c r="U41" s="186"/>
    </row>
    <row r="42" spans="1:21" ht="250.5" customHeight="1" x14ac:dyDescent="0.25">
      <c r="A42" s="179">
        <v>39</v>
      </c>
      <c r="B42" s="180"/>
      <c r="C42" s="180"/>
      <c r="D42" s="198"/>
      <c r="E42" s="198"/>
      <c r="F42" s="180"/>
      <c r="G42" s="180"/>
      <c r="H42" s="180"/>
      <c r="I42" s="180"/>
      <c r="J42" s="180"/>
      <c r="K42" s="181"/>
      <c r="L42" s="182"/>
      <c r="M42" s="182"/>
      <c r="N42" s="194"/>
      <c r="O42" s="184"/>
      <c r="P42" s="183"/>
      <c r="Q42" s="184"/>
      <c r="R42" s="183"/>
      <c r="S42" s="185"/>
      <c r="T42" s="185"/>
      <c r="U42" s="186"/>
    </row>
    <row r="43" spans="1:21" ht="250.5" customHeight="1" x14ac:dyDescent="0.25">
      <c r="A43" s="179">
        <v>40</v>
      </c>
      <c r="B43" s="180"/>
      <c r="C43" s="180"/>
      <c r="D43" s="198"/>
      <c r="E43" s="198"/>
      <c r="F43" s="180"/>
      <c r="G43" s="180"/>
      <c r="H43" s="180"/>
      <c r="I43" s="180"/>
      <c r="J43" s="180"/>
      <c r="K43" s="181"/>
      <c r="L43" s="182"/>
      <c r="M43" s="182"/>
      <c r="N43" s="194"/>
      <c r="O43" s="184"/>
      <c r="P43" s="183"/>
      <c r="Q43" s="184"/>
      <c r="R43" s="183"/>
      <c r="S43" s="185"/>
      <c r="T43" s="185"/>
      <c r="U43" s="186"/>
    </row>
    <row r="44" spans="1:21" ht="250.5" customHeight="1" x14ac:dyDescent="0.25">
      <c r="A44" s="179">
        <v>41</v>
      </c>
      <c r="B44" s="180"/>
      <c r="C44" s="180"/>
      <c r="D44" s="198"/>
      <c r="E44" s="198"/>
      <c r="F44" s="180"/>
      <c r="G44" s="180"/>
      <c r="H44" s="180"/>
      <c r="I44" s="180"/>
      <c r="J44" s="180"/>
      <c r="K44" s="181"/>
      <c r="L44" s="182"/>
      <c r="M44" s="182"/>
      <c r="N44" s="194"/>
      <c r="O44" s="184"/>
      <c r="P44" s="183"/>
      <c r="Q44" s="184"/>
      <c r="R44" s="183"/>
      <c r="S44" s="185"/>
      <c r="T44" s="185"/>
      <c r="U44" s="186"/>
    </row>
    <row r="45" spans="1:21" ht="250.5" customHeight="1" x14ac:dyDescent="0.25">
      <c r="A45" s="179">
        <v>42</v>
      </c>
      <c r="B45" s="180"/>
      <c r="C45" s="180"/>
      <c r="D45" s="198"/>
      <c r="E45" s="198"/>
      <c r="F45" s="180"/>
      <c r="G45" s="180"/>
      <c r="H45" s="180"/>
      <c r="I45" s="180"/>
      <c r="J45" s="180"/>
      <c r="K45" s="181"/>
      <c r="L45" s="182"/>
      <c r="M45" s="182"/>
      <c r="N45" s="194"/>
      <c r="O45" s="184"/>
      <c r="P45" s="183"/>
      <c r="Q45" s="184"/>
      <c r="R45" s="183"/>
      <c r="S45" s="185"/>
      <c r="T45" s="185"/>
      <c r="U45" s="186"/>
    </row>
    <row r="46" spans="1:21" ht="250.5" customHeight="1" x14ac:dyDescent="0.25">
      <c r="A46" s="179">
        <v>43</v>
      </c>
      <c r="B46" s="180"/>
      <c r="C46" s="180"/>
      <c r="D46" s="198"/>
      <c r="E46" s="198"/>
      <c r="F46" s="180"/>
      <c r="G46" s="180"/>
      <c r="H46" s="180"/>
      <c r="I46" s="180"/>
      <c r="J46" s="180"/>
      <c r="K46" s="181"/>
      <c r="L46" s="182"/>
      <c r="M46" s="182"/>
      <c r="N46" s="194"/>
      <c r="O46" s="184"/>
      <c r="P46" s="183"/>
      <c r="Q46" s="184"/>
      <c r="R46" s="183"/>
      <c r="S46" s="185"/>
      <c r="T46" s="185"/>
      <c r="U46" s="186"/>
    </row>
    <row r="47" spans="1:21" ht="250.5" customHeight="1" x14ac:dyDescent="0.25">
      <c r="A47" s="179">
        <v>44</v>
      </c>
      <c r="B47" s="180"/>
      <c r="C47" s="180"/>
      <c r="D47" s="198"/>
      <c r="E47" s="198"/>
      <c r="F47" s="180"/>
      <c r="G47" s="180"/>
      <c r="H47" s="180"/>
      <c r="I47" s="180"/>
      <c r="J47" s="180"/>
      <c r="K47" s="181"/>
      <c r="L47" s="182"/>
      <c r="M47" s="182"/>
      <c r="N47" s="194"/>
      <c r="O47" s="184"/>
      <c r="P47" s="183"/>
      <c r="Q47" s="184"/>
      <c r="R47" s="183"/>
      <c r="S47" s="185"/>
      <c r="T47" s="185"/>
      <c r="U47" s="186"/>
    </row>
    <row r="48" spans="1:21" ht="250.5" customHeight="1" x14ac:dyDescent="0.25">
      <c r="A48" s="179">
        <v>45</v>
      </c>
      <c r="B48" s="180"/>
      <c r="C48" s="180"/>
      <c r="D48" s="198"/>
      <c r="E48" s="198"/>
      <c r="F48" s="180"/>
      <c r="G48" s="180"/>
      <c r="H48" s="180"/>
      <c r="I48" s="180"/>
      <c r="J48" s="180"/>
      <c r="K48" s="181"/>
      <c r="L48" s="182"/>
      <c r="M48" s="182"/>
      <c r="N48" s="194"/>
      <c r="O48" s="184"/>
      <c r="P48" s="183"/>
      <c r="Q48" s="184"/>
      <c r="R48" s="183"/>
      <c r="S48" s="185"/>
      <c r="T48" s="185"/>
      <c r="U48" s="186"/>
    </row>
    <row r="49" spans="1:21" ht="250.5" customHeight="1" x14ac:dyDescent="0.25">
      <c r="A49" s="179">
        <v>46</v>
      </c>
      <c r="B49" s="180"/>
      <c r="C49" s="180"/>
      <c r="D49" s="198"/>
      <c r="E49" s="198"/>
      <c r="F49" s="180"/>
      <c r="G49" s="180"/>
      <c r="H49" s="180"/>
      <c r="I49" s="180"/>
      <c r="J49" s="180"/>
      <c r="K49" s="181"/>
      <c r="L49" s="182"/>
      <c r="M49" s="182"/>
      <c r="N49" s="194"/>
      <c r="O49" s="184"/>
      <c r="P49" s="183"/>
      <c r="Q49" s="184"/>
      <c r="R49" s="183"/>
      <c r="S49" s="185"/>
      <c r="T49" s="185"/>
      <c r="U49" s="186"/>
    </row>
    <row r="50" spans="1:21" ht="250.5" customHeight="1" x14ac:dyDescent="0.25">
      <c r="A50" s="179">
        <v>47</v>
      </c>
      <c r="B50" s="180"/>
      <c r="C50" s="180"/>
      <c r="D50" s="198"/>
      <c r="E50" s="198"/>
      <c r="F50" s="180"/>
      <c r="G50" s="180"/>
      <c r="H50" s="180"/>
      <c r="I50" s="180"/>
      <c r="J50" s="180"/>
      <c r="K50" s="181"/>
      <c r="L50" s="182"/>
      <c r="M50" s="182"/>
      <c r="N50" s="194"/>
      <c r="O50" s="184"/>
      <c r="P50" s="183"/>
      <c r="Q50" s="184"/>
      <c r="R50" s="183"/>
      <c r="S50" s="185"/>
      <c r="T50" s="185"/>
      <c r="U50" s="186"/>
    </row>
    <row r="51" spans="1:21" ht="250.5" customHeight="1" x14ac:dyDescent="0.25">
      <c r="A51" s="179">
        <v>48</v>
      </c>
      <c r="B51" s="180"/>
      <c r="C51" s="180"/>
      <c r="D51" s="198"/>
      <c r="E51" s="198"/>
      <c r="F51" s="180"/>
      <c r="G51" s="180"/>
      <c r="H51" s="180"/>
      <c r="I51" s="180"/>
      <c r="J51" s="180"/>
      <c r="K51" s="181"/>
      <c r="L51" s="182"/>
      <c r="M51" s="182"/>
      <c r="N51" s="194"/>
      <c r="O51" s="184"/>
      <c r="P51" s="183"/>
      <c r="Q51" s="184"/>
      <c r="R51" s="183"/>
      <c r="S51" s="185"/>
      <c r="T51" s="185"/>
      <c r="U51" s="186"/>
    </row>
    <row r="52" spans="1:21" ht="250.5" customHeight="1" x14ac:dyDescent="0.25">
      <c r="A52" s="179">
        <v>49</v>
      </c>
      <c r="B52" s="180"/>
      <c r="C52" s="180"/>
      <c r="D52" s="198"/>
      <c r="E52" s="198"/>
      <c r="F52" s="180"/>
      <c r="G52" s="180"/>
      <c r="H52" s="180"/>
      <c r="I52" s="180"/>
      <c r="J52" s="180"/>
      <c r="K52" s="181"/>
      <c r="L52" s="182"/>
      <c r="M52" s="182"/>
      <c r="N52" s="194"/>
      <c r="O52" s="184"/>
      <c r="P52" s="183"/>
      <c r="Q52" s="184"/>
      <c r="R52" s="183"/>
      <c r="S52" s="185"/>
      <c r="T52" s="185"/>
      <c r="U52" s="186"/>
    </row>
    <row r="53" spans="1:21" ht="250.5" customHeight="1" x14ac:dyDescent="0.25">
      <c r="A53" s="179">
        <v>50</v>
      </c>
      <c r="B53" s="180"/>
      <c r="C53" s="180"/>
      <c r="D53" s="198"/>
      <c r="E53" s="198"/>
      <c r="F53" s="180"/>
      <c r="G53" s="180"/>
      <c r="H53" s="180"/>
      <c r="I53" s="180"/>
      <c r="J53" s="180"/>
      <c r="K53" s="181"/>
      <c r="L53" s="182"/>
      <c r="M53" s="182">
        <f t="shared" ref="M53:M103" si="1">+L53+K53</f>
        <v>0</v>
      </c>
      <c r="N53" s="194">
        <f t="shared" ref="N53:N103" si="2">+M53*2.1</f>
        <v>0</v>
      </c>
      <c r="O53" s="184"/>
      <c r="P53" s="183"/>
      <c r="Q53" s="184"/>
      <c r="R53" s="183"/>
      <c r="S53" s="185"/>
      <c r="T53" s="185"/>
      <c r="U53" s="186"/>
    </row>
    <row r="54" spans="1:21" ht="250.5" customHeight="1" x14ac:dyDescent="0.25">
      <c r="A54" s="179">
        <v>51</v>
      </c>
      <c r="B54" s="180"/>
      <c r="C54" s="180"/>
      <c r="D54" s="198"/>
      <c r="E54" s="198"/>
      <c r="F54" s="180"/>
      <c r="G54" s="180"/>
      <c r="H54" s="180"/>
      <c r="I54" s="180"/>
      <c r="J54" s="180"/>
      <c r="K54" s="181"/>
      <c r="L54" s="182"/>
      <c r="M54" s="182">
        <f t="shared" si="1"/>
        <v>0</v>
      </c>
      <c r="N54" s="194">
        <f t="shared" si="2"/>
        <v>0</v>
      </c>
      <c r="O54" s="184"/>
      <c r="P54" s="183"/>
      <c r="Q54" s="184"/>
      <c r="R54" s="183"/>
      <c r="S54" s="185"/>
      <c r="T54" s="185"/>
      <c r="U54" s="186"/>
    </row>
    <row r="55" spans="1:21" ht="250.5" customHeight="1" x14ac:dyDescent="0.25">
      <c r="A55" s="179">
        <v>52</v>
      </c>
      <c r="B55" s="180"/>
      <c r="C55" s="180"/>
      <c r="D55" s="198"/>
      <c r="E55" s="198"/>
      <c r="F55" s="180"/>
      <c r="G55" s="180"/>
      <c r="H55" s="180"/>
      <c r="I55" s="180"/>
      <c r="J55" s="180"/>
      <c r="K55" s="181"/>
      <c r="L55" s="182"/>
      <c r="M55" s="182">
        <f t="shared" si="1"/>
        <v>0</v>
      </c>
      <c r="N55" s="194">
        <f t="shared" si="2"/>
        <v>0</v>
      </c>
      <c r="O55" s="184"/>
      <c r="P55" s="183"/>
      <c r="Q55" s="184"/>
      <c r="R55" s="183"/>
      <c r="S55" s="185"/>
      <c r="T55" s="185"/>
      <c r="U55" s="186"/>
    </row>
    <row r="56" spans="1:21" ht="250.5" customHeight="1" x14ac:dyDescent="0.25">
      <c r="A56" s="179">
        <v>53</v>
      </c>
      <c r="B56" s="180"/>
      <c r="C56" s="180"/>
      <c r="D56" s="198"/>
      <c r="E56" s="198"/>
      <c r="F56" s="180"/>
      <c r="G56" s="180"/>
      <c r="H56" s="180"/>
      <c r="I56" s="180"/>
      <c r="J56" s="180"/>
      <c r="K56" s="181"/>
      <c r="L56" s="182"/>
      <c r="M56" s="182">
        <f t="shared" si="1"/>
        <v>0</v>
      </c>
      <c r="N56" s="194">
        <f t="shared" si="2"/>
        <v>0</v>
      </c>
      <c r="O56" s="184"/>
      <c r="P56" s="183"/>
      <c r="Q56" s="184"/>
      <c r="R56" s="183"/>
      <c r="S56" s="185"/>
      <c r="T56" s="185"/>
      <c r="U56" s="186"/>
    </row>
    <row r="57" spans="1:21" ht="250.5" customHeight="1" x14ac:dyDescent="0.25">
      <c r="A57" s="179">
        <v>54</v>
      </c>
      <c r="B57" s="180"/>
      <c r="C57" s="180"/>
      <c r="D57" s="198"/>
      <c r="E57" s="198"/>
      <c r="F57" s="180"/>
      <c r="G57" s="180"/>
      <c r="H57" s="180"/>
      <c r="I57" s="180"/>
      <c r="J57" s="180"/>
      <c r="K57" s="181"/>
      <c r="L57" s="182"/>
      <c r="M57" s="182">
        <f t="shared" si="1"/>
        <v>0</v>
      </c>
      <c r="N57" s="194">
        <f t="shared" si="2"/>
        <v>0</v>
      </c>
      <c r="O57" s="184"/>
      <c r="P57" s="183"/>
      <c r="Q57" s="184"/>
      <c r="R57" s="183"/>
      <c r="S57" s="185"/>
      <c r="T57" s="185"/>
      <c r="U57" s="186"/>
    </row>
    <row r="58" spans="1:21" ht="250.5" customHeight="1" x14ac:dyDescent="0.25">
      <c r="A58" s="179">
        <v>55</v>
      </c>
      <c r="B58" s="180"/>
      <c r="C58" s="180"/>
      <c r="D58" s="198"/>
      <c r="E58" s="198"/>
      <c r="F58" s="180"/>
      <c r="G58" s="180"/>
      <c r="H58" s="180"/>
      <c r="I58" s="180"/>
      <c r="J58" s="180"/>
      <c r="K58" s="181"/>
      <c r="L58" s="182"/>
      <c r="M58" s="182">
        <f t="shared" si="1"/>
        <v>0</v>
      </c>
      <c r="N58" s="194">
        <f t="shared" si="2"/>
        <v>0</v>
      </c>
      <c r="O58" s="184"/>
      <c r="P58" s="183"/>
      <c r="Q58" s="184"/>
      <c r="R58" s="183"/>
      <c r="S58" s="185"/>
      <c r="T58" s="185"/>
      <c r="U58" s="186"/>
    </row>
    <row r="59" spans="1:21" ht="250.5" customHeight="1" x14ac:dyDescent="0.25">
      <c r="A59" s="179">
        <v>56</v>
      </c>
      <c r="B59" s="180"/>
      <c r="C59" s="180"/>
      <c r="D59" s="198"/>
      <c r="E59" s="198"/>
      <c r="F59" s="180"/>
      <c r="G59" s="180"/>
      <c r="H59" s="180"/>
      <c r="I59" s="180"/>
      <c r="J59" s="180"/>
      <c r="K59" s="181"/>
      <c r="L59" s="182"/>
      <c r="M59" s="182">
        <f t="shared" si="1"/>
        <v>0</v>
      </c>
      <c r="N59" s="194">
        <f t="shared" si="2"/>
        <v>0</v>
      </c>
      <c r="O59" s="184"/>
      <c r="P59" s="183"/>
      <c r="Q59" s="184"/>
      <c r="R59" s="183"/>
      <c r="S59" s="185"/>
      <c r="T59" s="185"/>
      <c r="U59" s="186"/>
    </row>
    <row r="60" spans="1:21" ht="250.5" customHeight="1" x14ac:dyDescent="0.25">
      <c r="A60" s="179">
        <v>57</v>
      </c>
      <c r="B60" s="180"/>
      <c r="C60" s="180"/>
      <c r="D60" s="198"/>
      <c r="E60" s="198"/>
      <c r="F60" s="180"/>
      <c r="G60" s="180"/>
      <c r="H60" s="180"/>
      <c r="I60" s="180"/>
      <c r="J60" s="180"/>
      <c r="K60" s="181"/>
      <c r="L60" s="182"/>
      <c r="M60" s="182">
        <f t="shared" si="1"/>
        <v>0</v>
      </c>
      <c r="N60" s="194">
        <f t="shared" si="2"/>
        <v>0</v>
      </c>
      <c r="O60" s="184"/>
      <c r="P60" s="183"/>
      <c r="Q60" s="184"/>
      <c r="R60" s="183"/>
      <c r="S60" s="185"/>
      <c r="T60" s="185"/>
      <c r="U60" s="186"/>
    </row>
    <row r="61" spans="1:21" ht="250.5" customHeight="1" x14ac:dyDescent="0.25">
      <c r="A61" s="179">
        <v>58</v>
      </c>
      <c r="B61" s="180"/>
      <c r="C61" s="180"/>
      <c r="D61" s="198"/>
      <c r="E61" s="198"/>
      <c r="F61" s="180"/>
      <c r="G61" s="180"/>
      <c r="H61" s="180"/>
      <c r="I61" s="180"/>
      <c r="J61" s="180"/>
      <c r="K61" s="181"/>
      <c r="L61" s="182"/>
      <c r="M61" s="182">
        <f t="shared" si="1"/>
        <v>0</v>
      </c>
      <c r="N61" s="194">
        <f t="shared" si="2"/>
        <v>0</v>
      </c>
      <c r="O61" s="184"/>
      <c r="P61" s="183"/>
      <c r="Q61" s="184"/>
      <c r="R61" s="183"/>
      <c r="S61" s="185"/>
      <c r="T61" s="185"/>
      <c r="U61" s="186"/>
    </row>
    <row r="62" spans="1:21" ht="250.5" customHeight="1" x14ac:dyDescent="0.25">
      <c r="A62" s="179">
        <v>59</v>
      </c>
      <c r="B62" s="180"/>
      <c r="C62" s="180"/>
      <c r="D62" s="198"/>
      <c r="E62" s="198"/>
      <c r="F62" s="180"/>
      <c r="G62" s="180"/>
      <c r="H62" s="180"/>
      <c r="I62" s="180"/>
      <c r="J62" s="180"/>
      <c r="K62" s="181"/>
      <c r="L62" s="182"/>
      <c r="M62" s="182">
        <f t="shared" si="1"/>
        <v>0</v>
      </c>
      <c r="N62" s="194">
        <f t="shared" si="2"/>
        <v>0</v>
      </c>
      <c r="O62" s="184"/>
      <c r="P62" s="183"/>
      <c r="Q62" s="184"/>
      <c r="R62" s="183"/>
      <c r="S62" s="185"/>
      <c r="T62" s="185"/>
      <c r="U62" s="186"/>
    </row>
    <row r="63" spans="1:21" ht="250.5" customHeight="1" x14ac:dyDescent="0.25">
      <c r="A63" s="179">
        <v>60</v>
      </c>
      <c r="B63" s="180"/>
      <c r="C63" s="180"/>
      <c r="D63" s="198"/>
      <c r="E63" s="198"/>
      <c r="F63" s="180"/>
      <c r="G63" s="180"/>
      <c r="H63" s="180"/>
      <c r="I63" s="180"/>
      <c r="J63" s="180"/>
      <c r="K63" s="181"/>
      <c r="L63" s="182"/>
      <c r="M63" s="182">
        <f t="shared" si="1"/>
        <v>0</v>
      </c>
      <c r="N63" s="194">
        <f t="shared" si="2"/>
        <v>0</v>
      </c>
      <c r="O63" s="184"/>
      <c r="P63" s="183"/>
      <c r="Q63" s="184"/>
      <c r="R63" s="183"/>
      <c r="S63" s="185"/>
      <c r="T63" s="185"/>
      <c r="U63" s="186"/>
    </row>
    <row r="64" spans="1:21" ht="250.5" customHeight="1" x14ac:dyDescent="0.25">
      <c r="A64" s="179">
        <v>61</v>
      </c>
      <c r="B64" s="180"/>
      <c r="C64" s="180"/>
      <c r="D64" s="198"/>
      <c r="E64" s="198"/>
      <c r="F64" s="180"/>
      <c r="G64" s="180"/>
      <c r="H64" s="180"/>
      <c r="I64" s="180"/>
      <c r="J64" s="180"/>
      <c r="K64" s="181"/>
      <c r="L64" s="182"/>
      <c r="M64" s="182">
        <f t="shared" si="1"/>
        <v>0</v>
      </c>
      <c r="N64" s="194">
        <f t="shared" si="2"/>
        <v>0</v>
      </c>
      <c r="O64" s="184"/>
      <c r="P64" s="183"/>
      <c r="Q64" s="184"/>
      <c r="R64" s="183"/>
      <c r="S64" s="185"/>
      <c r="T64" s="185"/>
      <c r="U64" s="186"/>
    </row>
    <row r="65" spans="1:21" ht="250.5" customHeight="1" x14ac:dyDescent="0.25">
      <c r="A65" s="179">
        <v>62</v>
      </c>
      <c r="B65" s="180"/>
      <c r="C65" s="180"/>
      <c r="D65" s="198"/>
      <c r="E65" s="198"/>
      <c r="F65" s="180"/>
      <c r="G65" s="180"/>
      <c r="H65" s="180"/>
      <c r="I65" s="180"/>
      <c r="J65" s="180"/>
      <c r="K65" s="181"/>
      <c r="L65" s="182"/>
      <c r="M65" s="182">
        <f t="shared" si="1"/>
        <v>0</v>
      </c>
      <c r="N65" s="194">
        <f t="shared" si="2"/>
        <v>0</v>
      </c>
      <c r="O65" s="184"/>
      <c r="P65" s="183"/>
      <c r="Q65" s="184"/>
      <c r="R65" s="183"/>
      <c r="S65" s="185"/>
      <c r="T65" s="185"/>
      <c r="U65" s="186"/>
    </row>
    <row r="66" spans="1:21" ht="250.5" customHeight="1" x14ac:dyDescent="0.25">
      <c r="A66" s="179">
        <v>63</v>
      </c>
      <c r="B66" s="180"/>
      <c r="C66" s="180"/>
      <c r="D66" s="198"/>
      <c r="E66" s="198"/>
      <c r="F66" s="180"/>
      <c r="G66" s="180"/>
      <c r="H66" s="180"/>
      <c r="I66" s="180"/>
      <c r="J66" s="180"/>
      <c r="K66" s="181"/>
      <c r="L66" s="182"/>
      <c r="M66" s="182">
        <f t="shared" si="1"/>
        <v>0</v>
      </c>
      <c r="N66" s="194">
        <f t="shared" si="2"/>
        <v>0</v>
      </c>
      <c r="O66" s="184"/>
      <c r="P66" s="183"/>
      <c r="Q66" s="184"/>
      <c r="R66" s="183"/>
      <c r="S66" s="185"/>
      <c r="T66" s="185"/>
      <c r="U66" s="186"/>
    </row>
    <row r="67" spans="1:21" ht="250.5" customHeight="1" x14ac:dyDescent="0.25">
      <c r="A67" s="179">
        <v>64</v>
      </c>
      <c r="B67" s="180"/>
      <c r="C67" s="180"/>
      <c r="D67" s="198"/>
      <c r="E67" s="198"/>
      <c r="F67" s="180"/>
      <c r="G67" s="180"/>
      <c r="H67" s="180"/>
      <c r="I67" s="180"/>
      <c r="J67" s="180"/>
      <c r="K67" s="181"/>
      <c r="L67" s="182"/>
      <c r="M67" s="182">
        <f t="shared" si="1"/>
        <v>0</v>
      </c>
      <c r="N67" s="194">
        <f t="shared" si="2"/>
        <v>0</v>
      </c>
      <c r="O67" s="184"/>
      <c r="P67" s="183"/>
      <c r="Q67" s="184"/>
      <c r="R67" s="183"/>
      <c r="S67" s="185"/>
      <c r="T67" s="185"/>
      <c r="U67" s="186"/>
    </row>
    <row r="68" spans="1:21" ht="250.5" customHeight="1" x14ac:dyDescent="0.25">
      <c r="A68" s="179">
        <v>65</v>
      </c>
      <c r="B68" s="180"/>
      <c r="C68" s="180"/>
      <c r="D68" s="198"/>
      <c r="E68" s="198"/>
      <c r="F68" s="180"/>
      <c r="G68" s="180"/>
      <c r="H68" s="180"/>
      <c r="I68" s="180"/>
      <c r="J68" s="180"/>
      <c r="K68" s="181"/>
      <c r="L68" s="182"/>
      <c r="M68" s="182">
        <f t="shared" si="1"/>
        <v>0</v>
      </c>
      <c r="N68" s="194">
        <f t="shared" si="2"/>
        <v>0</v>
      </c>
      <c r="O68" s="184"/>
      <c r="P68" s="183"/>
      <c r="Q68" s="184"/>
      <c r="R68" s="183"/>
      <c r="S68" s="185"/>
      <c r="T68" s="185"/>
      <c r="U68" s="186"/>
    </row>
    <row r="69" spans="1:21" ht="250.5" customHeight="1" x14ac:dyDescent="0.25">
      <c r="A69" s="179">
        <v>66</v>
      </c>
      <c r="B69" s="180"/>
      <c r="C69" s="180"/>
      <c r="D69" s="198"/>
      <c r="E69" s="198"/>
      <c r="F69" s="180"/>
      <c r="G69" s="180"/>
      <c r="H69" s="180"/>
      <c r="I69" s="180"/>
      <c r="J69" s="180"/>
      <c r="K69" s="181"/>
      <c r="L69" s="182"/>
      <c r="M69" s="182">
        <f t="shared" si="1"/>
        <v>0</v>
      </c>
      <c r="N69" s="194">
        <f t="shared" si="2"/>
        <v>0</v>
      </c>
      <c r="O69" s="184"/>
      <c r="P69" s="183"/>
      <c r="Q69" s="184"/>
      <c r="R69" s="183"/>
      <c r="S69" s="185"/>
      <c r="T69" s="185"/>
      <c r="U69" s="186"/>
    </row>
    <row r="70" spans="1:21" ht="250.5" customHeight="1" x14ac:dyDescent="0.25">
      <c r="A70" s="179">
        <v>67</v>
      </c>
      <c r="B70" s="180"/>
      <c r="C70" s="180"/>
      <c r="D70" s="198"/>
      <c r="E70" s="198"/>
      <c r="F70" s="180"/>
      <c r="G70" s="180"/>
      <c r="H70" s="180"/>
      <c r="I70" s="180"/>
      <c r="J70" s="180"/>
      <c r="K70" s="181"/>
      <c r="L70" s="182"/>
      <c r="M70" s="182">
        <f t="shared" si="1"/>
        <v>0</v>
      </c>
      <c r="N70" s="194">
        <f t="shared" si="2"/>
        <v>0</v>
      </c>
      <c r="O70" s="184"/>
      <c r="P70" s="183"/>
      <c r="Q70" s="184"/>
      <c r="R70" s="183"/>
      <c r="S70" s="185"/>
      <c r="T70" s="185"/>
      <c r="U70" s="186"/>
    </row>
    <row r="71" spans="1:21" ht="250.5" customHeight="1" x14ac:dyDescent="0.25">
      <c r="A71" s="179">
        <v>68</v>
      </c>
      <c r="B71" s="180"/>
      <c r="C71" s="180"/>
      <c r="D71" s="198"/>
      <c r="E71" s="198"/>
      <c r="F71" s="180"/>
      <c r="G71" s="180"/>
      <c r="H71" s="180"/>
      <c r="I71" s="180"/>
      <c r="J71" s="180"/>
      <c r="K71" s="181"/>
      <c r="L71" s="182"/>
      <c r="M71" s="182">
        <f t="shared" si="1"/>
        <v>0</v>
      </c>
      <c r="N71" s="194">
        <f t="shared" si="2"/>
        <v>0</v>
      </c>
      <c r="O71" s="184"/>
      <c r="P71" s="183"/>
      <c r="Q71" s="184"/>
      <c r="R71" s="183"/>
      <c r="S71" s="185"/>
      <c r="T71" s="185"/>
      <c r="U71" s="186"/>
    </row>
    <row r="72" spans="1:21" ht="250.5" customHeight="1" x14ac:dyDescent="0.25">
      <c r="A72" s="179">
        <v>69</v>
      </c>
      <c r="B72" s="180"/>
      <c r="C72" s="180"/>
      <c r="D72" s="198"/>
      <c r="E72" s="198"/>
      <c r="F72" s="180"/>
      <c r="G72" s="180"/>
      <c r="H72" s="180"/>
      <c r="I72" s="180"/>
      <c r="J72" s="180"/>
      <c r="K72" s="181"/>
      <c r="L72" s="182"/>
      <c r="M72" s="182">
        <f t="shared" si="1"/>
        <v>0</v>
      </c>
      <c r="N72" s="194">
        <f t="shared" si="2"/>
        <v>0</v>
      </c>
      <c r="O72" s="184"/>
      <c r="P72" s="183"/>
      <c r="Q72" s="184"/>
      <c r="R72" s="183"/>
      <c r="S72" s="185"/>
      <c r="T72" s="185"/>
      <c r="U72" s="186"/>
    </row>
    <row r="73" spans="1:21" ht="250.5" customHeight="1" x14ac:dyDescent="0.25">
      <c r="A73" s="179">
        <v>70</v>
      </c>
      <c r="B73" s="180"/>
      <c r="C73" s="180"/>
      <c r="D73" s="198"/>
      <c r="E73" s="198"/>
      <c r="F73" s="180"/>
      <c r="G73" s="180"/>
      <c r="H73" s="180"/>
      <c r="I73" s="180"/>
      <c r="J73" s="180"/>
      <c r="K73" s="181"/>
      <c r="L73" s="182"/>
      <c r="M73" s="182">
        <f t="shared" si="1"/>
        <v>0</v>
      </c>
      <c r="N73" s="194">
        <f t="shared" si="2"/>
        <v>0</v>
      </c>
      <c r="O73" s="184"/>
      <c r="P73" s="183"/>
      <c r="Q73" s="184"/>
      <c r="R73" s="183"/>
      <c r="S73" s="185"/>
      <c r="T73" s="185"/>
      <c r="U73" s="186"/>
    </row>
    <row r="74" spans="1:21" ht="250.5" customHeight="1" x14ac:dyDescent="0.25">
      <c r="A74" s="179">
        <v>71</v>
      </c>
      <c r="B74" s="180"/>
      <c r="C74" s="180"/>
      <c r="D74" s="198"/>
      <c r="E74" s="198"/>
      <c r="F74" s="180"/>
      <c r="G74" s="180"/>
      <c r="H74" s="180"/>
      <c r="I74" s="180"/>
      <c r="J74" s="180"/>
      <c r="K74" s="181"/>
      <c r="L74" s="182"/>
      <c r="M74" s="182">
        <f t="shared" si="1"/>
        <v>0</v>
      </c>
      <c r="N74" s="194">
        <f t="shared" si="2"/>
        <v>0</v>
      </c>
      <c r="O74" s="184"/>
      <c r="P74" s="183"/>
      <c r="Q74" s="184"/>
      <c r="R74" s="183"/>
      <c r="S74" s="185"/>
      <c r="T74" s="185"/>
      <c r="U74" s="186"/>
    </row>
    <row r="75" spans="1:21" ht="250.5" customHeight="1" x14ac:dyDescent="0.25">
      <c r="A75" s="179">
        <v>72</v>
      </c>
      <c r="B75" s="180"/>
      <c r="C75" s="180"/>
      <c r="D75" s="198"/>
      <c r="E75" s="198"/>
      <c r="F75" s="180"/>
      <c r="G75" s="180"/>
      <c r="H75" s="180"/>
      <c r="I75" s="180"/>
      <c r="J75" s="180"/>
      <c r="K75" s="181"/>
      <c r="L75" s="182"/>
      <c r="M75" s="182">
        <f t="shared" si="1"/>
        <v>0</v>
      </c>
      <c r="N75" s="194">
        <f t="shared" si="2"/>
        <v>0</v>
      </c>
      <c r="O75" s="184"/>
      <c r="P75" s="183"/>
      <c r="Q75" s="184"/>
      <c r="R75" s="183"/>
      <c r="S75" s="185"/>
      <c r="T75" s="185"/>
      <c r="U75" s="186"/>
    </row>
    <row r="76" spans="1:21" ht="250.5" customHeight="1" x14ac:dyDescent="0.25">
      <c r="A76" s="179">
        <v>73</v>
      </c>
      <c r="B76" s="180"/>
      <c r="C76" s="180"/>
      <c r="D76" s="198"/>
      <c r="E76" s="198"/>
      <c r="F76" s="180"/>
      <c r="G76" s="180"/>
      <c r="H76" s="180"/>
      <c r="I76" s="180"/>
      <c r="J76" s="180"/>
      <c r="K76" s="181"/>
      <c r="L76" s="182"/>
      <c r="M76" s="182">
        <f t="shared" si="1"/>
        <v>0</v>
      </c>
      <c r="N76" s="194">
        <f t="shared" si="2"/>
        <v>0</v>
      </c>
      <c r="O76" s="184"/>
      <c r="P76" s="183"/>
      <c r="Q76" s="184"/>
      <c r="R76" s="183"/>
      <c r="S76" s="185"/>
      <c r="T76" s="185"/>
      <c r="U76" s="186"/>
    </row>
    <row r="77" spans="1:21" ht="250.5" customHeight="1" x14ac:dyDescent="0.25">
      <c r="A77" s="179">
        <v>74</v>
      </c>
      <c r="B77" s="180"/>
      <c r="C77" s="180"/>
      <c r="D77" s="198"/>
      <c r="E77" s="198"/>
      <c r="F77" s="180"/>
      <c r="G77" s="180"/>
      <c r="H77" s="180"/>
      <c r="I77" s="180"/>
      <c r="J77" s="180"/>
      <c r="K77" s="181"/>
      <c r="L77" s="182"/>
      <c r="M77" s="182">
        <f t="shared" si="1"/>
        <v>0</v>
      </c>
      <c r="N77" s="194">
        <f t="shared" si="2"/>
        <v>0</v>
      </c>
      <c r="O77" s="184"/>
      <c r="P77" s="183"/>
      <c r="Q77" s="184"/>
      <c r="R77" s="183"/>
      <c r="S77" s="185"/>
      <c r="T77" s="185"/>
      <c r="U77" s="186"/>
    </row>
    <row r="78" spans="1:21" ht="250.5" customHeight="1" x14ac:dyDescent="0.25">
      <c r="A78" s="179">
        <v>75</v>
      </c>
      <c r="B78" s="180"/>
      <c r="C78" s="180"/>
      <c r="D78" s="198"/>
      <c r="E78" s="198"/>
      <c r="F78" s="180"/>
      <c r="G78" s="180"/>
      <c r="H78" s="180"/>
      <c r="I78" s="180"/>
      <c r="J78" s="180"/>
      <c r="K78" s="181"/>
      <c r="L78" s="182"/>
      <c r="M78" s="182">
        <f t="shared" si="1"/>
        <v>0</v>
      </c>
      <c r="N78" s="194">
        <f t="shared" si="2"/>
        <v>0</v>
      </c>
      <c r="O78" s="184"/>
      <c r="P78" s="183"/>
      <c r="Q78" s="184"/>
      <c r="R78" s="183"/>
      <c r="S78" s="185"/>
      <c r="T78" s="185"/>
      <c r="U78" s="186"/>
    </row>
    <row r="79" spans="1:21" ht="250.5" customHeight="1" x14ac:dyDescent="0.25">
      <c r="A79" s="179">
        <v>76</v>
      </c>
      <c r="B79" s="180"/>
      <c r="C79" s="180"/>
      <c r="D79" s="198"/>
      <c r="E79" s="198"/>
      <c r="F79" s="180"/>
      <c r="G79" s="180"/>
      <c r="H79" s="180"/>
      <c r="I79" s="180"/>
      <c r="J79" s="180"/>
      <c r="K79" s="181"/>
      <c r="L79" s="182"/>
      <c r="M79" s="182">
        <f t="shared" si="1"/>
        <v>0</v>
      </c>
      <c r="N79" s="194">
        <f t="shared" si="2"/>
        <v>0</v>
      </c>
      <c r="O79" s="184"/>
      <c r="P79" s="183"/>
      <c r="Q79" s="184"/>
      <c r="R79" s="183"/>
      <c r="S79" s="185"/>
      <c r="T79" s="185"/>
      <c r="U79" s="186"/>
    </row>
    <row r="80" spans="1:21" ht="250.5" customHeight="1" x14ac:dyDescent="0.25">
      <c r="A80" s="179">
        <v>77</v>
      </c>
      <c r="B80" s="180"/>
      <c r="C80" s="180"/>
      <c r="D80" s="198"/>
      <c r="E80" s="198"/>
      <c r="F80" s="180"/>
      <c r="G80" s="180"/>
      <c r="H80" s="180"/>
      <c r="I80" s="180"/>
      <c r="J80" s="180"/>
      <c r="K80" s="181"/>
      <c r="L80" s="182"/>
      <c r="M80" s="182">
        <f t="shared" si="1"/>
        <v>0</v>
      </c>
      <c r="N80" s="194">
        <f t="shared" si="2"/>
        <v>0</v>
      </c>
      <c r="O80" s="184"/>
      <c r="P80" s="183"/>
      <c r="Q80" s="184"/>
      <c r="R80" s="183"/>
      <c r="S80" s="185"/>
      <c r="T80" s="185"/>
      <c r="U80" s="186"/>
    </row>
    <row r="81" spans="1:21" ht="250.5" customHeight="1" x14ac:dyDescent="0.25">
      <c r="A81" s="179">
        <v>78</v>
      </c>
      <c r="B81" s="180"/>
      <c r="C81" s="180"/>
      <c r="D81" s="198"/>
      <c r="E81" s="198"/>
      <c r="F81" s="180"/>
      <c r="G81" s="180"/>
      <c r="H81" s="180"/>
      <c r="I81" s="180"/>
      <c r="J81" s="180"/>
      <c r="K81" s="181"/>
      <c r="L81" s="182"/>
      <c r="M81" s="182">
        <f t="shared" si="1"/>
        <v>0</v>
      </c>
      <c r="N81" s="194">
        <f t="shared" si="2"/>
        <v>0</v>
      </c>
      <c r="O81" s="184"/>
      <c r="P81" s="183"/>
      <c r="Q81" s="184"/>
      <c r="R81" s="183"/>
      <c r="S81" s="185"/>
      <c r="T81" s="185"/>
      <c r="U81" s="186"/>
    </row>
    <row r="82" spans="1:21" ht="250.5" customHeight="1" x14ac:dyDescent="0.25">
      <c r="A82" s="179">
        <v>79</v>
      </c>
      <c r="B82" s="180"/>
      <c r="C82" s="180"/>
      <c r="D82" s="198"/>
      <c r="E82" s="198"/>
      <c r="F82" s="180"/>
      <c r="G82" s="180"/>
      <c r="H82" s="180"/>
      <c r="I82" s="180"/>
      <c r="J82" s="180"/>
      <c r="K82" s="181"/>
      <c r="L82" s="182"/>
      <c r="M82" s="182">
        <f t="shared" si="1"/>
        <v>0</v>
      </c>
      <c r="N82" s="194">
        <f t="shared" si="2"/>
        <v>0</v>
      </c>
      <c r="O82" s="184"/>
      <c r="P82" s="183"/>
      <c r="Q82" s="184"/>
      <c r="R82" s="183"/>
      <c r="S82" s="185"/>
      <c r="T82" s="185"/>
      <c r="U82" s="186"/>
    </row>
    <row r="83" spans="1:21" ht="250.5" customHeight="1" x14ac:dyDescent="0.25">
      <c r="A83" s="179">
        <v>80</v>
      </c>
      <c r="B83" s="180"/>
      <c r="C83" s="180"/>
      <c r="D83" s="198"/>
      <c r="E83" s="198"/>
      <c r="F83" s="180"/>
      <c r="G83" s="180"/>
      <c r="H83" s="180"/>
      <c r="I83" s="180"/>
      <c r="J83" s="180"/>
      <c r="K83" s="181"/>
      <c r="L83" s="182"/>
      <c r="M83" s="182">
        <f t="shared" si="1"/>
        <v>0</v>
      </c>
      <c r="N83" s="194">
        <f t="shared" si="2"/>
        <v>0</v>
      </c>
      <c r="O83" s="184"/>
      <c r="P83" s="183"/>
      <c r="Q83" s="184"/>
      <c r="R83" s="183"/>
      <c r="S83" s="185"/>
      <c r="T83" s="185"/>
      <c r="U83" s="186"/>
    </row>
    <row r="84" spans="1:21" ht="250.5" customHeight="1" x14ac:dyDescent="0.25">
      <c r="A84" s="179">
        <v>81</v>
      </c>
      <c r="B84" s="180"/>
      <c r="C84" s="180"/>
      <c r="D84" s="198"/>
      <c r="E84" s="198"/>
      <c r="F84" s="180"/>
      <c r="G84" s="180"/>
      <c r="H84" s="180"/>
      <c r="I84" s="180"/>
      <c r="J84" s="180"/>
      <c r="K84" s="181"/>
      <c r="L84" s="182"/>
      <c r="M84" s="182">
        <f t="shared" si="1"/>
        <v>0</v>
      </c>
      <c r="N84" s="194">
        <f t="shared" si="2"/>
        <v>0</v>
      </c>
      <c r="O84" s="184"/>
      <c r="P84" s="183"/>
      <c r="Q84" s="184"/>
      <c r="R84" s="183"/>
      <c r="S84" s="185"/>
      <c r="T84" s="185"/>
      <c r="U84" s="186"/>
    </row>
    <row r="85" spans="1:21" ht="250.5" customHeight="1" x14ac:dyDescent="0.25">
      <c r="A85" s="179">
        <v>82</v>
      </c>
      <c r="B85" s="180"/>
      <c r="C85" s="180"/>
      <c r="D85" s="198"/>
      <c r="E85" s="198"/>
      <c r="F85" s="180"/>
      <c r="G85" s="180"/>
      <c r="H85" s="180"/>
      <c r="I85" s="180"/>
      <c r="J85" s="180"/>
      <c r="K85" s="181"/>
      <c r="L85" s="182"/>
      <c r="M85" s="182">
        <f t="shared" si="1"/>
        <v>0</v>
      </c>
      <c r="N85" s="194">
        <f t="shared" si="2"/>
        <v>0</v>
      </c>
      <c r="O85" s="184"/>
      <c r="P85" s="183"/>
      <c r="Q85" s="184"/>
      <c r="R85" s="183"/>
      <c r="S85" s="185"/>
      <c r="T85" s="185"/>
      <c r="U85" s="186"/>
    </row>
    <row r="86" spans="1:21" ht="250.5" customHeight="1" x14ac:dyDescent="0.25">
      <c r="A86" s="179">
        <v>83</v>
      </c>
      <c r="B86" s="180"/>
      <c r="C86" s="180"/>
      <c r="D86" s="198"/>
      <c r="E86" s="198"/>
      <c r="F86" s="180"/>
      <c r="G86" s="180"/>
      <c r="H86" s="180"/>
      <c r="I86" s="180"/>
      <c r="J86" s="180"/>
      <c r="K86" s="181"/>
      <c r="L86" s="182"/>
      <c r="M86" s="182">
        <f t="shared" si="1"/>
        <v>0</v>
      </c>
      <c r="N86" s="194">
        <f t="shared" si="2"/>
        <v>0</v>
      </c>
      <c r="O86" s="184"/>
      <c r="P86" s="183"/>
      <c r="Q86" s="184"/>
      <c r="R86" s="183"/>
      <c r="S86" s="185"/>
      <c r="T86" s="185"/>
      <c r="U86" s="186"/>
    </row>
    <row r="87" spans="1:21" ht="250.5" customHeight="1" x14ac:dyDescent="0.25">
      <c r="A87" s="179">
        <v>84</v>
      </c>
      <c r="B87" s="180"/>
      <c r="C87" s="180"/>
      <c r="D87" s="198"/>
      <c r="E87" s="198"/>
      <c r="F87" s="180"/>
      <c r="G87" s="180"/>
      <c r="H87" s="180"/>
      <c r="I87" s="180"/>
      <c r="J87" s="180"/>
      <c r="K87" s="181"/>
      <c r="L87" s="182"/>
      <c r="M87" s="182">
        <f t="shared" si="1"/>
        <v>0</v>
      </c>
      <c r="N87" s="194">
        <f t="shared" si="2"/>
        <v>0</v>
      </c>
      <c r="O87" s="184"/>
      <c r="P87" s="183"/>
      <c r="Q87" s="184"/>
      <c r="R87" s="183"/>
      <c r="S87" s="185"/>
      <c r="T87" s="185"/>
      <c r="U87" s="186"/>
    </row>
    <row r="88" spans="1:21" ht="250.5" customHeight="1" x14ac:dyDescent="0.25">
      <c r="A88" s="179">
        <v>85</v>
      </c>
      <c r="B88" s="180"/>
      <c r="C88" s="180"/>
      <c r="D88" s="198"/>
      <c r="E88" s="198"/>
      <c r="F88" s="180"/>
      <c r="G88" s="180"/>
      <c r="H88" s="180"/>
      <c r="I88" s="180"/>
      <c r="J88" s="180"/>
      <c r="K88" s="181"/>
      <c r="L88" s="182"/>
      <c r="M88" s="182">
        <f t="shared" si="1"/>
        <v>0</v>
      </c>
      <c r="N88" s="194">
        <f t="shared" si="2"/>
        <v>0</v>
      </c>
      <c r="O88" s="184"/>
      <c r="P88" s="183"/>
      <c r="Q88" s="184"/>
      <c r="R88" s="183"/>
      <c r="S88" s="185"/>
      <c r="T88" s="185"/>
      <c r="U88" s="186"/>
    </row>
    <row r="89" spans="1:21" ht="250.5" customHeight="1" x14ac:dyDescent="0.25">
      <c r="A89" s="179">
        <v>86</v>
      </c>
      <c r="B89" s="180"/>
      <c r="C89" s="180"/>
      <c r="D89" s="198"/>
      <c r="E89" s="198"/>
      <c r="F89" s="180"/>
      <c r="G89" s="180"/>
      <c r="H89" s="180"/>
      <c r="I89" s="180"/>
      <c r="J89" s="180"/>
      <c r="K89" s="181"/>
      <c r="L89" s="182"/>
      <c r="M89" s="182">
        <f t="shared" si="1"/>
        <v>0</v>
      </c>
      <c r="N89" s="194">
        <f t="shared" si="2"/>
        <v>0</v>
      </c>
      <c r="O89" s="184"/>
      <c r="P89" s="183"/>
      <c r="Q89" s="184"/>
      <c r="R89" s="183"/>
      <c r="S89" s="185"/>
      <c r="T89" s="185"/>
      <c r="U89" s="186"/>
    </row>
    <row r="90" spans="1:21" ht="250.5" customHeight="1" x14ac:dyDescent="0.25">
      <c r="A90" s="179">
        <v>87</v>
      </c>
      <c r="B90" s="180"/>
      <c r="C90" s="180"/>
      <c r="D90" s="198"/>
      <c r="E90" s="198"/>
      <c r="F90" s="180"/>
      <c r="G90" s="180"/>
      <c r="H90" s="180"/>
      <c r="I90" s="180"/>
      <c r="J90" s="180"/>
      <c r="K90" s="181"/>
      <c r="L90" s="182"/>
      <c r="M90" s="182">
        <f t="shared" si="1"/>
        <v>0</v>
      </c>
      <c r="N90" s="194">
        <f t="shared" si="2"/>
        <v>0</v>
      </c>
      <c r="O90" s="184"/>
      <c r="P90" s="183"/>
      <c r="Q90" s="184"/>
      <c r="R90" s="183"/>
      <c r="S90" s="185"/>
      <c r="T90" s="185"/>
      <c r="U90" s="186"/>
    </row>
    <row r="91" spans="1:21" ht="250.5" customHeight="1" x14ac:dyDescent="0.25">
      <c r="A91" s="179">
        <v>88</v>
      </c>
      <c r="B91" s="180"/>
      <c r="C91" s="180"/>
      <c r="D91" s="198"/>
      <c r="E91" s="198"/>
      <c r="F91" s="180"/>
      <c r="G91" s="180"/>
      <c r="H91" s="180"/>
      <c r="I91" s="180"/>
      <c r="J91" s="180"/>
      <c r="K91" s="181"/>
      <c r="L91" s="182"/>
      <c r="M91" s="182">
        <f t="shared" si="1"/>
        <v>0</v>
      </c>
      <c r="N91" s="194">
        <f t="shared" si="2"/>
        <v>0</v>
      </c>
      <c r="O91" s="184"/>
      <c r="P91" s="183"/>
      <c r="Q91" s="184"/>
      <c r="R91" s="183"/>
      <c r="S91" s="185"/>
      <c r="T91" s="185"/>
      <c r="U91" s="186"/>
    </row>
    <row r="92" spans="1:21" ht="250.5" customHeight="1" x14ac:dyDescent="0.25">
      <c r="A92" s="179">
        <v>89</v>
      </c>
      <c r="B92" s="180"/>
      <c r="C92" s="180"/>
      <c r="D92" s="198"/>
      <c r="E92" s="198"/>
      <c r="F92" s="180"/>
      <c r="G92" s="180"/>
      <c r="H92" s="180"/>
      <c r="I92" s="180"/>
      <c r="J92" s="180"/>
      <c r="K92" s="181"/>
      <c r="L92" s="182"/>
      <c r="M92" s="182">
        <f t="shared" si="1"/>
        <v>0</v>
      </c>
      <c r="N92" s="194">
        <f t="shared" si="2"/>
        <v>0</v>
      </c>
      <c r="O92" s="184"/>
      <c r="P92" s="183"/>
      <c r="Q92" s="184"/>
      <c r="R92" s="183"/>
      <c r="S92" s="185"/>
      <c r="T92" s="185"/>
      <c r="U92" s="186"/>
    </row>
    <row r="93" spans="1:21" ht="250.5" customHeight="1" x14ac:dyDescent="0.25">
      <c r="A93" s="179">
        <v>90</v>
      </c>
      <c r="B93" s="180"/>
      <c r="C93" s="180"/>
      <c r="D93" s="198"/>
      <c r="E93" s="198"/>
      <c r="F93" s="180"/>
      <c r="G93" s="180"/>
      <c r="H93" s="180"/>
      <c r="I93" s="180"/>
      <c r="J93" s="180"/>
      <c r="K93" s="181"/>
      <c r="L93" s="182"/>
      <c r="M93" s="182">
        <f t="shared" si="1"/>
        <v>0</v>
      </c>
      <c r="N93" s="194">
        <f t="shared" si="2"/>
        <v>0</v>
      </c>
      <c r="O93" s="184"/>
      <c r="P93" s="183"/>
      <c r="Q93" s="184"/>
      <c r="R93" s="183"/>
      <c r="S93" s="185"/>
      <c r="T93" s="185"/>
      <c r="U93" s="186"/>
    </row>
    <row r="94" spans="1:21" ht="250.5" customHeight="1" x14ac:dyDescent="0.25">
      <c r="A94" s="179">
        <v>91</v>
      </c>
      <c r="B94" s="180"/>
      <c r="C94" s="180"/>
      <c r="D94" s="198"/>
      <c r="E94" s="198"/>
      <c r="F94" s="180"/>
      <c r="G94" s="180"/>
      <c r="H94" s="180"/>
      <c r="I94" s="180"/>
      <c r="J94" s="180"/>
      <c r="K94" s="181"/>
      <c r="L94" s="182"/>
      <c r="M94" s="182">
        <f t="shared" si="1"/>
        <v>0</v>
      </c>
      <c r="N94" s="194">
        <f t="shared" si="2"/>
        <v>0</v>
      </c>
      <c r="O94" s="184"/>
      <c r="P94" s="183"/>
      <c r="Q94" s="184"/>
      <c r="R94" s="183"/>
      <c r="S94" s="185"/>
      <c r="T94" s="185"/>
      <c r="U94" s="186"/>
    </row>
    <row r="95" spans="1:21" ht="250.5" customHeight="1" x14ac:dyDescent="0.25">
      <c r="A95" s="179">
        <v>92</v>
      </c>
      <c r="B95" s="180"/>
      <c r="C95" s="180"/>
      <c r="D95" s="198"/>
      <c r="E95" s="198"/>
      <c r="F95" s="180"/>
      <c r="G95" s="180"/>
      <c r="H95" s="180"/>
      <c r="I95" s="180"/>
      <c r="J95" s="180"/>
      <c r="K95" s="181"/>
      <c r="L95" s="182"/>
      <c r="M95" s="182">
        <f t="shared" si="1"/>
        <v>0</v>
      </c>
      <c r="N95" s="194">
        <f t="shared" si="2"/>
        <v>0</v>
      </c>
      <c r="O95" s="184"/>
      <c r="P95" s="183"/>
      <c r="Q95" s="184"/>
      <c r="R95" s="183"/>
      <c r="S95" s="185"/>
      <c r="T95" s="185"/>
      <c r="U95" s="186"/>
    </row>
    <row r="96" spans="1:21" ht="250.5" customHeight="1" x14ac:dyDescent="0.25">
      <c r="A96" s="179">
        <v>93</v>
      </c>
      <c r="B96" s="180"/>
      <c r="C96" s="180"/>
      <c r="D96" s="198"/>
      <c r="E96" s="198"/>
      <c r="F96" s="180"/>
      <c r="G96" s="180"/>
      <c r="H96" s="180"/>
      <c r="I96" s="180"/>
      <c r="J96" s="180"/>
      <c r="K96" s="181"/>
      <c r="L96" s="182"/>
      <c r="M96" s="182">
        <f t="shared" si="1"/>
        <v>0</v>
      </c>
      <c r="N96" s="194">
        <f t="shared" si="2"/>
        <v>0</v>
      </c>
      <c r="O96" s="184"/>
      <c r="P96" s="183"/>
      <c r="Q96" s="184"/>
      <c r="R96" s="183"/>
      <c r="S96" s="185"/>
      <c r="T96" s="185"/>
      <c r="U96" s="186"/>
    </row>
    <row r="97" spans="1:21" ht="250.5" customHeight="1" x14ac:dyDescent="0.25">
      <c r="A97" s="179">
        <v>94</v>
      </c>
      <c r="B97" s="180"/>
      <c r="C97" s="180"/>
      <c r="D97" s="198"/>
      <c r="E97" s="198"/>
      <c r="F97" s="180"/>
      <c r="G97" s="180"/>
      <c r="H97" s="180"/>
      <c r="I97" s="180"/>
      <c r="J97" s="180"/>
      <c r="K97" s="181"/>
      <c r="L97" s="182"/>
      <c r="M97" s="182">
        <f t="shared" si="1"/>
        <v>0</v>
      </c>
      <c r="N97" s="194">
        <f t="shared" si="2"/>
        <v>0</v>
      </c>
      <c r="O97" s="184"/>
      <c r="P97" s="183"/>
      <c r="Q97" s="184"/>
      <c r="R97" s="183"/>
      <c r="S97" s="185"/>
      <c r="T97" s="185"/>
      <c r="U97" s="186"/>
    </row>
    <row r="98" spans="1:21" ht="250.5" customHeight="1" x14ac:dyDescent="0.25">
      <c r="A98" s="179">
        <v>95</v>
      </c>
      <c r="B98" s="180"/>
      <c r="C98" s="180"/>
      <c r="D98" s="198"/>
      <c r="E98" s="198"/>
      <c r="F98" s="180"/>
      <c r="G98" s="180"/>
      <c r="H98" s="180"/>
      <c r="I98" s="180"/>
      <c r="J98" s="180"/>
      <c r="K98" s="181"/>
      <c r="L98" s="182"/>
      <c r="M98" s="182">
        <f t="shared" si="1"/>
        <v>0</v>
      </c>
      <c r="N98" s="194">
        <f t="shared" si="2"/>
        <v>0</v>
      </c>
      <c r="O98" s="184"/>
      <c r="P98" s="183"/>
      <c r="Q98" s="184"/>
      <c r="R98" s="183"/>
      <c r="S98" s="185"/>
      <c r="T98" s="185"/>
      <c r="U98" s="186"/>
    </row>
    <row r="99" spans="1:21" ht="250.5" customHeight="1" x14ac:dyDescent="0.25">
      <c r="A99" s="179">
        <v>96</v>
      </c>
      <c r="B99" s="180"/>
      <c r="C99" s="180"/>
      <c r="D99" s="198"/>
      <c r="E99" s="198"/>
      <c r="F99" s="180"/>
      <c r="G99" s="180"/>
      <c r="H99" s="180"/>
      <c r="I99" s="180"/>
      <c r="J99" s="180"/>
      <c r="K99" s="181"/>
      <c r="L99" s="182"/>
      <c r="M99" s="182">
        <f t="shared" si="1"/>
        <v>0</v>
      </c>
      <c r="N99" s="194">
        <f t="shared" si="2"/>
        <v>0</v>
      </c>
      <c r="O99" s="184"/>
      <c r="P99" s="183"/>
      <c r="Q99" s="184"/>
      <c r="R99" s="183"/>
      <c r="S99" s="185"/>
      <c r="T99" s="185"/>
      <c r="U99" s="186"/>
    </row>
    <row r="100" spans="1:21" ht="250.5" customHeight="1" x14ac:dyDescent="0.25">
      <c r="A100" s="179">
        <v>97</v>
      </c>
      <c r="B100" s="180"/>
      <c r="C100" s="180"/>
      <c r="D100" s="198"/>
      <c r="E100" s="198"/>
      <c r="F100" s="180"/>
      <c r="G100" s="180"/>
      <c r="H100" s="180"/>
      <c r="I100" s="180"/>
      <c r="J100" s="180"/>
      <c r="K100" s="181"/>
      <c r="L100" s="182"/>
      <c r="M100" s="182"/>
      <c r="N100" s="194"/>
      <c r="O100" s="184"/>
      <c r="P100" s="183"/>
      <c r="Q100" s="184"/>
      <c r="R100" s="183"/>
      <c r="S100" s="185"/>
      <c r="T100" s="185"/>
      <c r="U100" s="186"/>
    </row>
    <row r="101" spans="1:21" ht="250.5" customHeight="1" x14ac:dyDescent="0.25">
      <c r="A101" s="179">
        <v>98</v>
      </c>
      <c r="B101" s="180"/>
      <c r="C101" s="180"/>
      <c r="D101" s="198"/>
      <c r="E101" s="198"/>
      <c r="F101" s="180"/>
      <c r="G101" s="180"/>
      <c r="H101" s="180"/>
      <c r="I101" s="180"/>
      <c r="J101" s="180"/>
      <c r="K101" s="181"/>
      <c r="L101" s="182"/>
      <c r="M101" s="182"/>
      <c r="N101" s="194"/>
      <c r="O101" s="184"/>
      <c r="P101" s="183"/>
      <c r="Q101" s="184"/>
      <c r="R101" s="183"/>
      <c r="S101" s="185"/>
      <c r="T101" s="185"/>
      <c r="U101" s="186"/>
    </row>
    <row r="102" spans="1:21" ht="250.5" customHeight="1" x14ac:dyDescent="0.25">
      <c r="A102" s="179">
        <v>99</v>
      </c>
      <c r="B102" s="180"/>
      <c r="C102" s="180"/>
      <c r="D102" s="198"/>
      <c r="E102" s="198"/>
      <c r="F102" s="180"/>
      <c r="G102" s="180"/>
      <c r="H102" s="180"/>
      <c r="I102" s="180"/>
      <c r="J102" s="180"/>
      <c r="K102" s="181"/>
      <c r="L102" s="182"/>
      <c r="M102" s="182">
        <f t="shared" si="1"/>
        <v>0</v>
      </c>
      <c r="N102" s="194">
        <f t="shared" si="2"/>
        <v>0</v>
      </c>
      <c r="O102" s="184"/>
      <c r="P102" s="183"/>
      <c r="Q102" s="184"/>
      <c r="R102" s="183"/>
      <c r="S102" s="185"/>
      <c r="T102" s="185"/>
      <c r="U102" s="186"/>
    </row>
    <row r="103" spans="1:21" ht="250.5" customHeight="1" x14ac:dyDescent="0.25">
      <c r="A103" s="180">
        <v>100</v>
      </c>
      <c r="B103" s="180"/>
      <c r="C103" s="180"/>
      <c r="D103" s="198"/>
      <c r="E103" s="198"/>
      <c r="F103" s="180"/>
      <c r="G103" s="180"/>
      <c r="H103" s="180"/>
      <c r="I103" s="180"/>
      <c r="J103" s="180"/>
      <c r="K103" s="181"/>
      <c r="L103" s="182"/>
      <c r="M103" s="182">
        <f t="shared" si="1"/>
        <v>0</v>
      </c>
      <c r="N103" s="194">
        <f t="shared" si="2"/>
        <v>0</v>
      </c>
      <c r="O103" s="184"/>
      <c r="P103" s="183"/>
      <c r="Q103" s="184"/>
      <c r="R103" s="183"/>
      <c r="S103" s="185"/>
      <c r="T103" s="185"/>
      <c r="U103" s="186"/>
    </row>
  </sheetData>
  <mergeCells count="1">
    <mergeCell ref="A1:H1"/>
  </mergeCells>
  <conditionalFormatting sqref="S4:T52 S61:T66 S68:T68 S74:T74 S76:T103">
    <cfRule type="notContainsBlanks" dxfId="19" priority="20">
      <formula>LEN(TRIM(S4))&gt;0</formula>
    </cfRule>
  </conditionalFormatting>
  <conditionalFormatting sqref="S58:T60">
    <cfRule type="notContainsBlanks" dxfId="18" priority="19">
      <formula>LEN(TRIM(S58))&gt;0</formula>
    </cfRule>
  </conditionalFormatting>
  <conditionalFormatting sqref="S67:T67">
    <cfRule type="notContainsBlanks" dxfId="17" priority="18">
      <formula>LEN(TRIM(S67))&gt;0</formula>
    </cfRule>
  </conditionalFormatting>
  <conditionalFormatting sqref="S69:T69">
    <cfRule type="notContainsBlanks" dxfId="16" priority="17">
      <formula>LEN(TRIM(S69))&gt;0</formula>
    </cfRule>
  </conditionalFormatting>
  <conditionalFormatting sqref="S70:T70">
    <cfRule type="notContainsBlanks" dxfId="15" priority="16">
      <formula>LEN(TRIM(S70))&gt;0</formula>
    </cfRule>
  </conditionalFormatting>
  <conditionalFormatting sqref="S71:T71">
    <cfRule type="notContainsBlanks" dxfId="14" priority="15">
      <formula>LEN(TRIM(S71))&gt;0</formula>
    </cfRule>
  </conditionalFormatting>
  <conditionalFormatting sqref="S72:T72">
    <cfRule type="notContainsBlanks" dxfId="13" priority="14">
      <formula>LEN(TRIM(S72))&gt;0</formula>
    </cfRule>
  </conditionalFormatting>
  <conditionalFormatting sqref="S73:T73">
    <cfRule type="notContainsBlanks" dxfId="12" priority="13">
      <formula>LEN(TRIM(S73))&gt;0</formula>
    </cfRule>
  </conditionalFormatting>
  <conditionalFormatting sqref="S75:T75">
    <cfRule type="notContainsBlanks" dxfId="11" priority="12">
      <formula>LEN(TRIM(S75))&gt;0</formula>
    </cfRule>
  </conditionalFormatting>
  <conditionalFormatting sqref="S4:T52 S58:T103">
    <cfRule type="notContainsBlanks" dxfId="10" priority="11">
      <formula>LEN(TRIM(S4))&gt;0</formula>
    </cfRule>
  </conditionalFormatting>
  <conditionalFormatting sqref="S53:T53">
    <cfRule type="notContainsBlanks" dxfId="9" priority="10">
      <formula>LEN(TRIM(S53))&gt;0</formula>
    </cfRule>
  </conditionalFormatting>
  <conditionalFormatting sqref="S53:T53">
    <cfRule type="notContainsBlanks" dxfId="8" priority="9">
      <formula>LEN(TRIM(S53))&gt;0</formula>
    </cfRule>
  </conditionalFormatting>
  <conditionalFormatting sqref="S54:T54">
    <cfRule type="notContainsBlanks" dxfId="7" priority="8">
      <formula>LEN(TRIM(S54))&gt;0</formula>
    </cfRule>
  </conditionalFormatting>
  <conditionalFormatting sqref="S54:T54">
    <cfRule type="notContainsBlanks" dxfId="6" priority="7">
      <formula>LEN(TRIM(S54))&gt;0</formula>
    </cfRule>
  </conditionalFormatting>
  <conditionalFormatting sqref="S55:T55">
    <cfRule type="notContainsBlanks" dxfId="5" priority="6">
      <formula>LEN(TRIM(S55))&gt;0</formula>
    </cfRule>
  </conditionalFormatting>
  <conditionalFormatting sqref="S55:T55">
    <cfRule type="notContainsBlanks" dxfId="4" priority="5">
      <formula>LEN(TRIM(S55))&gt;0</formula>
    </cfRule>
  </conditionalFormatting>
  <conditionalFormatting sqref="S56:T56">
    <cfRule type="notContainsBlanks" dxfId="3" priority="4">
      <formula>LEN(TRIM(S56))&gt;0</formula>
    </cfRule>
  </conditionalFormatting>
  <conditionalFormatting sqref="S56:T56">
    <cfRule type="notContainsBlanks" dxfId="2" priority="3">
      <formula>LEN(TRIM(S56))&gt;0</formula>
    </cfRule>
  </conditionalFormatting>
  <conditionalFormatting sqref="S57:T57">
    <cfRule type="notContainsBlanks" dxfId="1" priority="2">
      <formula>LEN(TRIM(S57))&gt;0</formula>
    </cfRule>
  </conditionalFormatting>
  <conditionalFormatting sqref="S57:T57">
    <cfRule type="notContainsBlanks" dxfId="0" priority="1">
      <formula>LEN(TRIM(S57))&gt;0</formula>
    </cfRule>
  </conditionalFormatting>
  <dataValidations count="2">
    <dataValidation type="list" allowBlank="1" showInputMessage="1" showErrorMessage="1" sqref="H4:H103" xr:uid="{121A966D-31E8-4081-A382-CC2F8D8EC6FE}">
      <formula1>$AT$2:$AT$6</formula1>
    </dataValidation>
    <dataValidation type="list" allowBlank="1" showInputMessage="1" showErrorMessage="1" sqref="I4:I103" xr:uid="{BFE83A91-4BF4-4A21-A610-291146949AD7}">
      <formula1>$AU$2:$AU$10</formula1>
    </dataValidation>
  </dataValidations>
  <pageMargins left="0.7" right="0.7" top="0.75" bottom="0.75" header="0.3" footer="0.3"/>
  <pageSetup paperSize="9" scale="29" fitToHeight="0" orientation="portrait" horizontalDpi="4294967295" verticalDpi="4294967295"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9</vt:i4>
      </vt:variant>
    </vt:vector>
  </HeadingPairs>
  <TitlesOfParts>
    <vt:vector size="14" baseType="lpstr">
      <vt:lpstr>QUOTE WORKING SHEET</vt:lpstr>
      <vt:lpstr>QUOTE (DO NOT AMEND)</vt:lpstr>
      <vt:lpstr>ORDER CONFIRMATION</vt:lpstr>
      <vt:lpstr>WORKS INSTRUCTION</vt:lpstr>
      <vt:lpstr>SCHEDULE FOR SUPPLIER PRICING</vt:lpstr>
      <vt:lpstr>'ORDER CONFIRMATION'!Print_Area</vt:lpstr>
      <vt:lpstr>'QUOTE (DO NOT AMEND)'!Print_Area</vt:lpstr>
      <vt:lpstr>'QUOTE WORKING SHEET'!Print_Area</vt:lpstr>
      <vt:lpstr>'SCHEDULE FOR SUPPLIER PRICING'!Print_Area</vt:lpstr>
      <vt:lpstr>'WORKS INSTRUCTION'!Print_Area</vt:lpstr>
      <vt:lpstr>'ORDER CONFIRMATION'!Print_Titles</vt:lpstr>
      <vt:lpstr>'QUOTE (DO NOT AMEND)'!Print_Titles</vt:lpstr>
      <vt:lpstr>'QUOTE WORKING SHEET'!Print_Titles</vt:lpstr>
      <vt:lpstr>'WORKS INSTRUCTION'!Print_Titles</vt:lpstr>
    </vt:vector>
  </TitlesOfParts>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Bruce Moore</dc:creator>
  <cp:lastModifiedBy>Bev Smith-Binns</cp:lastModifiedBy>
  <cp:revision/>
  <cp:lastPrinted>2026-10-13T14:35:40Z</cp:lastPrinted>
  <dcterms:created xsi:type="dcterms:W3CDTF">2017-01-28T12:30:03Z</dcterms:created>
  <dcterms:modified xsi:type="dcterms:W3CDTF">2026-10-13T14:35:43Z</dcterms:modified>
</cp:coreProperties>
</file>